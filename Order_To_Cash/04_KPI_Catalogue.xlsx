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 Catalogue" sheetId="2" state="visible" r:id="rId2"/>
    <sheet xmlns:r="http://schemas.openxmlformats.org/officeDocument/2006/relationships" name="Blocked KPIs" sheetId="3" state="visible" r:id="rId3"/>
  </sheets>
  <definedNames>
    <definedName name="_xlnm._FilterDatabase" localSheetId="1" hidden="1">'KPI Catalogue'!$A$1:$I$136</definedName>
    <definedName name="_xlnm.Print_Titles" localSheetId="1">'KPI Catalogue'!$1:$1</definedName>
    <definedName name="_xlnm._FilterDatabase" localSheetId="2" hidden="1">'Blocked KPIs'!$A$1:$F$15</definedName>
    <definedName name="_xlnm.Print_Titles" localSheetId="2">'Blocked KPIs'!$1:$1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  <font>
      <name val="Arial"/>
      <b val="1"/>
      <sz val="9"/>
    </font>
    <font>
      <name val="Consolas"/>
      <sz val="8"/>
    </font>
    <font>
      <name val="Arial"/>
      <b val="1"/>
      <color rgb="001B6B37"/>
      <sz val="9"/>
    </font>
    <font>
      <name val="Arial"/>
      <b val="1"/>
      <color rgb="00595959"/>
      <sz val="9"/>
    </font>
    <font>
      <name val="Arial"/>
      <b val="1"/>
      <color rgb="00C00000"/>
      <sz val="9"/>
    </font>
    <font>
      <name val="Arial"/>
      <b val="1"/>
      <color rgb="0096601A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sz val="10"/>
    </font>
    <font>
      <name val="Arial"/>
      <color rgb="00595959"/>
      <sz val="9"/>
    </font>
    <font>
      <name val="Arial"/>
      <b val="1"/>
      <sz val="10"/>
    </font>
    <font>
      <name val="Arial"/>
      <b val="1"/>
      <color rgb="00C55A1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1" pivotButton="0" quotePrefix="0" xfId="0"/>
    <xf numFmtId="0" fontId="12" fillId="4" borderId="1" pivotButton="0" quotePrefix="0" xfId="0"/>
    <xf numFmtId="0" fontId="13" fillId="4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4" fillId="5" borderId="1" pivotButton="0" quotePrefix="0" xfId="0"/>
    <xf numFmtId="0" fontId="0" fillId="5" borderId="1" pivotButton="0" quotePrefix="0" xfId="0"/>
    <xf numFmtId="0" fontId="15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2" fillId="3" borderId="1" applyAlignment="1" pivotButton="0" quotePrefix="0" xfId="0">
      <alignment horizontal="right"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2" fillId="4" borderId="1" applyAlignment="1" pivotButton="0" quotePrefix="0" xfId="0">
      <alignment horizontal="right" vertical="top"/>
    </xf>
    <xf numFmtId="0" fontId="7" fillId="3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8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48" customWidth="1" min="5" max="5"/>
  </cols>
  <sheetData>
    <row r="1">
      <c r="A1" s="1" t="inlineStr">
        <is>
          <t>Order-to-Cash KPI catalogue</t>
        </is>
      </c>
    </row>
    <row r="2">
      <c r="A2" s="2" t="inlineStr">
        <is>
          <t>135 measures buildable today. Counts are live formulas over the KPI Catalogue tab.</t>
        </is>
      </c>
    </row>
    <row r="4">
      <c r="A4" s="3" t="inlineStr">
        <is>
          <t>Folder</t>
        </is>
      </c>
      <c r="B4" s="3" t="inlineStr">
        <is>
          <t>Measures</t>
        </is>
      </c>
      <c r="C4" s="3" t="inlineStr">
        <is>
          <t>Core</t>
        </is>
      </c>
      <c r="D4" s="3" t="inlineStr">
        <is>
          <t>Standard</t>
        </is>
      </c>
      <c r="E4" s="3" t="inlineStr">
        <is>
          <t>What it covers</t>
        </is>
      </c>
    </row>
    <row r="5">
      <c r="A5" s="4" t="inlineStr">
        <is>
          <t>01 Base</t>
        </is>
      </c>
      <c r="B5" s="4">
        <f>COUNTIF('KPI Catalogue'!$B$2:$B$136,$A5)</f>
        <v/>
      </c>
      <c r="C5" s="4">
        <f>COUNTIFS('KPI Catalogue'!$B$2:$B$136,$A5,'KPI Catalogue'!$G$2:$G$136,"Core")</f>
        <v/>
      </c>
      <c r="D5" s="4">
        <f>COUNTIFS('KPI Catalogue'!$B$2:$B$136,$A5,'KPI Catalogue'!$G$2:$G$136,"Standard")</f>
        <v/>
      </c>
      <c r="E5" s="5" t="inlineStr">
        <is>
          <t>Raw sums everything else builds on</t>
        </is>
      </c>
    </row>
    <row r="6">
      <c r="A6" s="6" t="inlineStr">
        <is>
          <t>02 Currency</t>
        </is>
      </c>
      <c r="B6" s="6">
        <f>COUNTIF('KPI Catalogue'!$B$2:$B$136,$A6)</f>
        <v/>
      </c>
      <c r="C6" s="6">
        <f>COUNTIFS('KPI Catalogue'!$B$2:$B$136,$A6,'KPI Catalogue'!$G$2:$G$136,"Core")</f>
        <v/>
      </c>
      <c r="D6" s="6">
        <f>COUNTIFS('KPI Catalogue'!$B$2:$B$136,$A6,'KPI Catalogue'!$G$2:$G$136,"Standard")</f>
        <v/>
      </c>
      <c r="E6" s="7" t="inlineStr">
        <is>
          <t>FX coverage, quality flags and guards</t>
        </is>
      </c>
    </row>
    <row r="7">
      <c r="A7" s="4" t="inlineStr">
        <is>
          <t>03 Commercial</t>
        </is>
      </c>
      <c r="B7" s="4">
        <f>COUNTIF('KPI Catalogue'!$B$2:$B$136,$A7)</f>
        <v/>
      </c>
      <c r="C7" s="4">
        <f>COUNTIFS('KPI Catalogue'!$B$2:$B$136,$A7,'KPI Catalogue'!$G$2:$G$136,"Core")</f>
        <v/>
      </c>
      <c r="D7" s="4">
        <f>COUNTIFS('KPI Catalogue'!$B$2:$B$136,$A7,'KPI Catalogue'!$G$2:$G$136,"Standard")</f>
        <v/>
      </c>
      <c r="E7" s="5" t="inlineStr">
        <is>
          <t>Price, revenue per line, time intelligence</t>
        </is>
      </c>
    </row>
    <row r="8">
      <c r="A8" s="6" t="inlineStr">
        <is>
          <t>04 Price Bridge</t>
        </is>
      </c>
      <c r="B8" s="6">
        <f>COUNTIF('KPI Catalogue'!$B$2:$B$136,$A8)</f>
        <v/>
      </c>
      <c r="C8" s="6">
        <f>COUNTIFS('KPI Catalogue'!$B$2:$B$136,$A8,'KPI Catalogue'!$G$2:$G$136,"Core")</f>
        <v/>
      </c>
      <c r="D8" s="6">
        <f>COUNTIFS('KPI Catalogue'!$B$2:$B$136,$A8,'KPI Catalogue'!$G$2:$G$136,"Standard")</f>
        <v/>
      </c>
      <c r="E8" s="7" t="inlineStr">
        <is>
          <t>Commodity base and premium decomposition</t>
        </is>
      </c>
    </row>
    <row r="9">
      <c r="A9" s="4" t="inlineStr">
        <is>
          <t>05 Revenue Quality</t>
        </is>
      </c>
      <c r="B9" s="4">
        <f>COUNTIF('KPI Catalogue'!$B$2:$B$136,$A9)</f>
        <v/>
      </c>
      <c r="C9" s="4">
        <f>COUNTIFS('KPI Catalogue'!$B$2:$B$136,$A9,'KPI Catalogue'!$G$2:$G$136,"Core")</f>
        <v/>
      </c>
      <c r="D9" s="4">
        <f>COUNTIFS('KPI Catalogue'!$B$2:$B$136,$A9,'KPI Catalogue'!$G$2:$G$136,"Standard")</f>
        <v/>
      </c>
      <c r="E9" s="5" t="inlineStr">
        <is>
          <t>Credit notes and billing accuracy</t>
        </is>
      </c>
    </row>
    <row r="10">
      <c r="A10" s="6" t="inlineStr">
        <is>
          <t>06 Order to Cash</t>
        </is>
      </c>
      <c r="B10" s="6">
        <f>COUNTIF('KPI Catalogue'!$B$2:$B$136,$A10)</f>
        <v/>
      </c>
      <c r="C10" s="6">
        <f>COUNTIFS('KPI Catalogue'!$B$2:$B$136,$A10,'KPI Catalogue'!$G$2:$G$136,"Core")</f>
        <v/>
      </c>
      <c r="D10" s="6">
        <f>COUNTIFS('KPI Catalogue'!$B$2:$B$136,$A10,'KPI Catalogue'!$G$2:$G$136,"Standard")</f>
        <v/>
      </c>
      <c r="E10" s="7" t="inlineStr">
        <is>
          <t>Fulfilment, billing, backlog conversion</t>
        </is>
      </c>
    </row>
    <row r="11">
      <c r="A11" s="4" t="inlineStr">
        <is>
          <t>07 Service</t>
        </is>
      </c>
      <c r="B11" s="4">
        <f>COUNTIF('KPI Catalogue'!$B$2:$B$136,$A11)</f>
        <v/>
      </c>
      <c r="C11" s="4">
        <f>COUNTIFS('KPI Catalogue'!$B$2:$B$136,$A11,'KPI Catalogue'!$G$2:$G$136,"Core")</f>
        <v/>
      </c>
      <c r="D11" s="4">
        <f>COUNTIFS('KPI Catalogue'!$B$2:$B$136,$A11,'KPI Catalogue'!$G$2:$G$136,"Standard")</f>
        <v/>
      </c>
      <c r="E11" s="5" t="inlineStr">
        <is>
          <t>On-time performance, cycle time, OTIF</t>
        </is>
      </c>
    </row>
    <row r="12">
      <c r="A12" s="6" t="inlineStr">
        <is>
          <t>08 Logistics</t>
        </is>
      </c>
      <c r="B12" s="6">
        <f>COUNTIF('KPI Catalogue'!$B$2:$B$136,$A12)</f>
        <v/>
      </c>
      <c r="C12" s="6">
        <f>COUNTIFS('KPI Catalogue'!$B$2:$B$136,$A12,'KPI Catalogue'!$G$2:$G$136,"Core")</f>
        <v/>
      </c>
      <c r="D12" s="6">
        <f>COUNTIFS('KPI Catalogue'!$B$2:$B$136,$A12,'KPI Catalogue'!$G$2:$G$136,"Standard")</f>
        <v/>
      </c>
      <c r="E12" s="7" t="inlineStr">
        <is>
          <t>Deliveries, carriers, weight, export mix</t>
        </is>
      </c>
    </row>
    <row r="13">
      <c r="A13" s="4" t="inlineStr">
        <is>
          <t>09 Returns &amp; Credits</t>
        </is>
      </c>
      <c r="B13" s="4">
        <f>COUNTIF('KPI Catalogue'!$B$2:$B$136,$A13)</f>
        <v/>
      </c>
      <c r="C13" s="4">
        <f>COUNTIFS('KPI Catalogue'!$B$2:$B$136,$A13,'KPI Catalogue'!$G$2:$G$136,"Core")</f>
        <v/>
      </c>
      <c r="D13" s="4">
        <f>COUNTIFS('KPI Catalogue'!$B$2:$B$136,$A13,'KPI Catalogue'!$G$2:$G$136,"Standard")</f>
        <v/>
      </c>
      <c r="E13" s="5" t="inlineStr">
        <is>
          <t>Return volume, rate and root cause</t>
        </is>
      </c>
    </row>
    <row r="14">
      <c r="A14" s="6" t="inlineStr">
        <is>
          <t>10 Customer &amp; Product</t>
        </is>
      </c>
      <c r="B14" s="6">
        <f>COUNTIF('KPI Catalogue'!$B$2:$B$136,$A14)</f>
        <v/>
      </c>
      <c r="C14" s="6">
        <f>COUNTIFS('KPI Catalogue'!$B$2:$B$136,$A14,'KPI Catalogue'!$G$2:$G$136,"Core")</f>
        <v/>
      </c>
      <c r="D14" s="6">
        <f>COUNTIFS('KPI Catalogue'!$B$2:$B$136,$A14,'KPI Catalogue'!$G$2:$G$136,"Standard")</f>
        <v/>
      </c>
      <c r="E14" s="7" t="inlineStr">
        <is>
          <t>Concentration, ranking, Pareto</t>
        </is>
      </c>
    </row>
    <row r="15">
      <c r="A15" s="4" t="inlineStr">
        <is>
          <t>11 Data Quality</t>
        </is>
      </c>
      <c r="B15" s="4">
        <f>COUNTIF('KPI Catalogue'!$B$2:$B$136,$A15)</f>
        <v/>
      </c>
      <c r="C15" s="4">
        <f>COUNTIFS('KPI Catalogue'!$B$2:$B$136,$A15,'KPI Catalogue'!$G$2:$G$136,"Core")</f>
        <v/>
      </c>
      <c r="D15" s="4">
        <f>COUNTIFS('KPI Catalogue'!$B$2:$B$136,$A15,'KPI Catalogue'!$G$2:$G$136,"Standard")</f>
        <v/>
      </c>
      <c r="E15" s="5" t="inlineStr">
        <is>
          <t>Model guard rails</t>
        </is>
      </c>
    </row>
    <row r="16">
      <c r="A16" s="6" t="inlineStr">
        <is>
          <t>12 Report Helpers</t>
        </is>
      </c>
      <c r="B16" s="6">
        <f>COUNTIF('KPI Catalogue'!$B$2:$B$136,$A16)</f>
        <v/>
      </c>
      <c r="C16" s="6">
        <f>COUNTIFS('KPI Catalogue'!$B$2:$B$136,$A16,'KPI Catalogue'!$G$2:$G$136,"Core")</f>
        <v/>
      </c>
      <c r="D16" s="6">
        <f>COUNTIFS('KPI Catalogue'!$B$2:$B$136,$A16,'KPI Catalogue'!$G$2:$G$136,"Standard")</f>
        <v/>
      </c>
      <c r="E16" s="7" t="inlineStr">
        <is>
          <t>Dynamic titles and warnings</t>
        </is>
      </c>
    </row>
    <row r="17">
      <c r="A17" s="8" t="inlineStr">
        <is>
          <t>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9" t="n"/>
    </row>
    <row r="19">
      <c r="A19" s="10" t="inlineStr">
        <is>
          <t>Blocked KPI families</t>
        </is>
      </c>
    </row>
    <row r="20">
      <c r="A20" s="6" t="inlineStr">
        <is>
          <t>High impact</t>
        </is>
      </c>
      <c r="B20" s="6">
        <f>COUNTIF('Blocked KPIs'!$F$2:$F$15,LEFT($A20,SEARCH(" ",$A20)-1))</f>
        <v/>
      </c>
    </row>
    <row r="21">
      <c r="A21" s="6" t="inlineStr">
        <is>
          <t>Medium impact</t>
        </is>
      </c>
      <c r="B21" s="6">
        <f>COUNTIF('Blocked KPIs'!$F$2:$F$15,LEFT($A21,SEARCH(" ",$A21)-1))</f>
        <v/>
      </c>
    </row>
    <row r="22">
      <c r="A22" s="6" t="inlineStr">
        <is>
          <t>Low impact</t>
        </is>
      </c>
      <c r="B22" s="6">
        <f>COUNTIF('Blocked KPIs'!$F$2:$F$15,LEFT($A22,SEARCH(" ",$A22)-1))</f>
        <v/>
      </c>
    </row>
    <row r="23">
      <c r="A23" s="6" t="inlineStr">
        <is>
          <t>Resolved impact</t>
        </is>
      </c>
      <c r="B23" s="6">
        <f>COUNTIF('Blocked KPIs'!$F$2:$F$15,LEFT($A23,SEARCH(" ",$A23)-1))</f>
        <v/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44" customWidth="1" min="4" max="4"/>
    <col width="66" customWidth="1" min="5" max="5"/>
    <col width="18" customWidth="1" min="6" max="6"/>
    <col width="10" customWidth="1" min="7" max="7"/>
    <col width="12" customWidth="1" min="8" max="8"/>
    <col width="22" customWidth="1" min="9" max="9"/>
  </cols>
  <sheetData>
    <row r="1" ht="30" customHeight="1">
      <c r="A1" s="11" t="inlineStr">
        <is>
          <t>ID</t>
        </is>
      </c>
      <c r="B1" s="11" t="inlineStr">
        <is>
          <t>Folder</t>
        </is>
      </c>
      <c r="C1" s="11" t="inlineStr">
        <is>
          <t>Measure</t>
        </is>
      </c>
      <c r="D1" s="11" t="inlineStr">
        <is>
          <t>What it tells you</t>
        </is>
      </c>
      <c r="E1" s="11" t="inlineStr">
        <is>
          <t>DAX</t>
        </is>
      </c>
      <c r="F1" s="11" t="inlineStr">
        <is>
          <t>Primary table</t>
        </is>
      </c>
      <c r="G1" s="11" t="inlineStr">
        <is>
          <t>Priority</t>
        </is>
      </c>
      <c r="H1" s="11" t="inlineStr">
        <is>
          <t>Format</t>
        </is>
      </c>
      <c r="I1" s="11" t="inlineStr">
        <is>
          <t>Sample (this extract)</t>
        </is>
      </c>
    </row>
    <row r="2" ht="26" customHeight="1">
      <c r="A2" s="12" t="inlineStr">
        <is>
          <t>K-001</t>
        </is>
      </c>
      <c r="B2" s="13" t="inlineStr">
        <is>
          <t>01 Base</t>
        </is>
      </c>
      <c r="C2" s="14" t="inlineStr">
        <is>
          <t>Revenue USD</t>
        </is>
      </c>
      <c r="D2" s="15" t="inlineStr">
        <is>
          <t>Raw signed revenue. Everything downstream builds on this.</t>
        </is>
      </c>
      <c r="E2" s="16" t="inlineStr">
        <is>
          <t>SUM(fact_Invoice[Revenue_USD])</t>
        </is>
      </c>
      <c r="F2" s="13" t="inlineStr">
        <is>
          <t>multiple</t>
        </is>
      </c>
      <c r="G2" s="17" t="inlineStr">
        <is>
          <t>Core</t>
        </is>
      </c>
      <c r="H2" s="13" t="inlineStr">
        <is>
          <t>\$#,0</t>
        </is>
      </c>
      <c r="I2" s="18" t="inlineStr">
        <is>
          <t>$15.07bn</t>
        </is>
      </c>
    </row>
    <row r="3" ht="26" customHeight="1">
      <c r="A3" s="19" t="inlineStr">
        <is>
          <t>K-002</t>
        </is>
      </c>
      <c r="B3" s="20" t="inlineStr">
        <is>
          <t>01 Base</t>
        </is>
      </c>
      <c r="C3" s="21" t="inlineStr">
        <is>
          <t>Gross Revenue USD</t>
        </is>
      </c>
      <c r="D3" s="22" t="inlineStr">
        <is>
          <t>Revenue before credit memos.</t>
        </is>
      </c>
      <c r="E3" s="23" t="inlineStr">
        <is>
          <t>CALCULATE([Revenue USD], fact_Invoice[Is_Credit_Memo] = FALSE())</t>
        </is>
      </c>
      <c r="F3" s="20" t="inlineStr">
        <is>
          <t>multiple</t>
        </is>
      </c>
      <c r="G3" s="24" t="inlineStr">
        <is>
          <t>Core</t>
        </is>
      </c>
      <c r="H3" s="20" t="inlineStr">
        <is>
          <t>\$#,0</t>
        </is>
      </c>
      <c r="I3" s="25" t="inlineStr">
        <is>
          <t>$15.30bn</t>
        </is>
      </c>
    </row>
    <row r="4" ht="26" customHeight="1">
      <c r="A4" s="12" t="inlineStr">
        <is>
          <t>K-003</t>
        </is>
      </c>
      <c r="B4" s="13" t="inlineStr">
        <is>
          <t>01 Base</t>
        </is>
      </c>
      <c r="C4" s="14" t="inlineStr">
        <is>
          <t>Credits USD</t>
        </is>
      </c>
      <c r="D4" s="15" t="inlineStr">
        <is>
          <t>Credit memo value. Always negative.</t>
        </is>
      </c>
      <c r="E4" s="16" t="inlineStr">
        <is>
          <t>CALCULATE([Revenue USD], fact_Invoice[Is_Credit_Memo] = TRUE())</t>
        </is>
      </c>
      <c r="F4" s="13" t="inlineStr">
        <is>
          <t>multiple</t>
        </is>
      </c>
      <c r="G4" s="17" t="inlineStr">
        <is>
          <t>Core</t>
        </is>
      </c>
      <c r="H4" s="13" t="inlineStr">
        <is>
          <t>\$#,0</t>
        </is>
      </c>
      <c r="I4" s="18" t="inlineStr">
        <is>
          <t>-$229.8m</t>
        </is>
      </c>
    </row>
    <row r="5" ht="26" customHeight="1">
      <c r="A5" s="19" t="inlineStr">
        <is>
          <t>K-004</t>
        </is>
      </c>
      <c r="B5" s="20" t="inlineStr">
        <is>
          <t>01 Base</t>
        </is>
      </c>
      <c r="C5" s="21" t="inlineStr">
        <is>
          <t>Net Revenue USD</t>
        </is>
      </c>
      <c r="D5" s="22" t="inlineStr">
        <is>
          <t>Revenue after credits. The headline number.</t>
        </is>
      </c>
      <c r="E5" s="23" t="inlineStr">
        <is>
          <t>[Gross Revenue USD] + [Credits USD]</t>
        </is>
      </c>
      <c r="F5" s="20" t="inlineStr">
        <is>
          <t>multiple</t>
        </is>
      </c>
      <c r="G5" s="24" t="inlineStr">
        <is>
          <t>Core</t>
        </is>
      </c>
      <c r="H5" s="20" t="inlineStr">
        <is>
          <t>\$#,0</t>
        </is>
      </c>
      <c r="I5" s="25" t="inlineStr">
        <is>
          <t>$15.07bn</t>
        </is>
      </c>
    </row>
    <row r="6" ht="26" customHeight="1">
      <c r="A6" s="12" t="inlineStr">
        <is>
          <t>K-005</t>
        </is>
      </c>
      <c r="B6" s="13" t="inlineStr">
        <is>
          <t>01 Base</t>
        </is>
      </c>
      <c r="C6" s="14" t="inlineStr">
        <is>
          <t>Ordered MT</t>
        </is>
      </c>
      <c r="D6" s="15" t="inlineStr">
        <is>
          <t>Signed ordered volume. Returns count negative.</t>
        </is>
      </c>
      <c r="E6" s="16" t="inlineStr">
        <is>
          <t>SUM(fact_SalesOrder[Ordered_MT_Signed])</t>
        </is>
      </c>
      <c r="F6" s="13" t="inlineStr">
        <is>
          <t>multiple</t>
        </is>
      </c>
      <c r="G6" s="17" t="inlineStr">
        <is>
          <t>Core</t>
        </is>
      </c>
      <c r="H6" s="13" t="inlineStr">
        <is>
          <t>#,0</t>
        </is>
      </c>
      <c r="I6" s="18" t="inlineStr">
        <is>
          <t>25,346,201</t>
        </is>
      </c>
    </row>
    <row r="7" ht="26" customHeight="1">
      <c r="A7" s="19" t="inlineStr">
        <is>
          <t>K-006</t>
        </is>
      </c>
      <c r="B7" s="20" t="inlineStr">
        <is>
          <t>01 Base</t>
        </is>
      </c>
      <c r="C7" s="21" t="inlineStr">
        <is>
          <t>Shipped MT</t>
        </is>
      </c>
      <c r="D7" s="22" t="inlineStr">
        <is>
          <t>Shipped volume from delivery details.</t>
        </is>
      </c>
      <c r="E7" s="23" t="inlineStr">
        <is>
          <t>SUM(fact_Shipment[Shipped_MT])</t>
        </is>
      </c>
      <c r="F7" s="20" t="inlineStr">
        <is>
          <t>multiple</t>
        </is>
      </c>
      <c r="G7" s="24" t="inlineStr">
        <is>
          <t>Core</t>
        </is>
      </c>
      <c r="H7" s="20" t="inlineStr">
        <is>
          <t>#,0</t>
        </is>
      </c>
      <c r="I7" s="25" t="inlineStr">
        <is>
          <t>21,199,021</t>
        </is>
      </c>
    </row>
    <row r="8" ht="26" customHeight="1">
      <c r="A8" s="12" t="inlineStr">
        <is>
          <t>K-007</t>
        </is>
      </c>
      <c r="B8" s="13" t="inlineStr">
        <is>
          <t>01 Base</t>
        </is>
      </c>
      <c r="C8" s="14" t="inlineStr">
        <is>
          <t>Shipped MT Order View</t>
        </is>
      </c>
      <c r="D8" s="15" t="inlineStr">
        <is>
          <t>Signed shipped volume on the order line. The correct partner for Ordered MT.</t>
        </is>
      </c>
      <c r="E8" s="16" t="inlineStr">
        <is>
          <t>SUM(fact_SalesOrder[Shipped_MT_Signed])</t>
        </is>
      </c>
      <c r="F8" s="13" t="inlineStr">
        <is>
          <t>multiple</t>
        </is>
      </c>
      <c r="G8" s="17" t="inlineStr">
        <is>
          <t>Core</t>
        </is>
      </c>
      <c r="H8" s="13" t="inlineStr">
        <is>
          <t>#,0</t>
        </is>
      </c>
      <c r="I8" s="18" t="inlineStr">
        <is>
          <t>20,350,225</t>
        </is>
      </c>
    </row>
    <row r="9" ht="26" customHeight="1">
      <c r="A9" s="19" t="inlineStr">
        <is>
          <t>K-008</t>
        </is>
      </c>
      <c r="B9" s="20" t="inlineStr">
        <is>
          <t>01 Base</t>
        </is>
      </c>
      <c r="C9" s="21" t="inlineStr">
        <is>
          <t>Invoiced MT</t>
        </is>
      </c>
      <c r="D9" s="22" t="inlineStr">
        <is>
          <t>Net billed volume. The two columns are mutually exclusive — both are required.</t>
        </is>
      </c>
      <c r="E9" s="23" t="inlineStr">
        <is>
          <t>SUM(fact_Invoice[Qty_Invoiced_MT]) + SUM(fact_Invoice[Qty_Credited_MT])</t>
        </is>
      </c>
      <c r="F9" s="20" t="inlineStr">
        <is>
          <t>multiple</t>
        </is>
      </c>
      <c r="G9" s="24" t="inlineStr">
        <is>
          <t>Core</t>
        </is>
      </c>
      <c r="H9" s="20" t="inlineStr">
        <is>
          <t>#,0</t>
        </is>
      </c>
      <c r="I9" s="25" t="inlineStr">
        <is>
          <t>22,279,890</t>
        </is>
      </c>
    </row>
    <row r="10" ht="26" customHeight="1">
      <c r="A10" s="12" t="inlineStr">
        <is>
          <t>K-009</t>
        </is>
      </c>
      <c r="B10" s="13" t="inlineStr">
        <is>
          <t>01 Base</t>
        </is>
      </c>
      <c r="C10" s="14" t="inlineStr">
        <is>
          <t>Order Lines</t>
        </is>
      </c>
      <c r="D10" s="15" t="inlineStr">
        <is>
          <t>Line count from the bridge.</t>
        </is>
      </c>
      <c r="E10" s="16" t="inlineStr">
        <is>
          <t>COUNTROWS(dim_SalesOrderLine)</t>
        </is>
      </c>
      <c r="F10" s="13" t="inlineStr">
        <is>
          <t>multiple</t>
        </is>
      </c>
      <c r="G10" s="17" t="inlineStr">
        <is>
          <t>Core</t>
        </is>
      </c>
      <c r="H10" s="13" t="inlineStr">
        <is>
          <t>#,0</t>
        </is>
      </c>
      <c r="I10" s="18" t="inlineStr">
        <is>
          <t>68,977</t>
        </is>
      </c>
    </row>
    <row r="11" ht="26" customHeight="1">
      <c r="A11" s="19" t="inlineStr">
        <is>
          <t>K-010</t>
        </is>
      </c>
      <c r="B11" s="20" t="inlineStr">
        <is>
          <t>01 Base</t>
        </is>
      </c>
      <c r="C11" s="21" t="inlineStr">
        <is>
          <t>Invoice Lines</t>
        </is>
      </c>
      <c r="D11" s="22" t="inlineStr"/>
      <c r="E11" s="23" t="inlineStr">
        <is>
          <t>COUNTROWS(fact_Invoice)</t>
        </is>
      </c>
      <c r="F11" s="20" t="inlineStr">
        <is>
          <t>multiple</t>
        </is>
      </c>
      <c r="G11" s="24" t="inlineStr">
        <is>
          <t>Core</t>
        </is>
      </c>
      <c r="H11" s="20" t="inlineStr">
        <is>
          <t>#,0</t>
        </is>
      </c>
      <c r="I11" s="25" t="inlineStr">
        <is>
          <t>79,576</t>
        </is>
      </c>
    </row>
    <row r="12" ht="26" customHeight="1">
      <c r="A12" s="12" t="inlineStr">
        <is>
          <t>K-011</t>
        </is>
      </c>
      <c r="B12" s="13" t="inlineStr">
        <is>
          <t>01 Base</t>
        </is>
      </c>
      <c r="C12" s="14" t="inlineStr">
        <is>
          <t>Shipment Records</t>
        </is>
      </c>
      <c r="D12" s="15" t="inlineStr"/>
      <c r="E12" s="16" t="inlineStr">
        <is>
          <t>COUNTROWS(fact_Shipment)</t>
        </is>
      </c>
      <c r="F12" s="13" t="inlineStr">
        <is>
          <t>multiple</t>
        </is>
      </c>
      <c r="G12" s="17" t="inlineStr">
        <is>
          <t>Core</t>
        </is>
      </c>
      <c r="H12" s="13" t="inlineStr">
        <is>
          <t>#,0</t>
        </is>
      </c>
      <c r="I12" s="18" t="inlineStr">
        <is>
          <t>84,505</t>
        </is>
      </c>
    </row>
    <row r="13" ht="26" customHeight="1">
      <c r="A13" s="19" t="inlineStr">
        <is>
          <t>K-012</t>
        </is>
      </c>
      <c r="B13" s="20" t="inlineStr">
        <is>
          <t>01 Base</t>
        </is>
      </c>
      <c r="C13" s="21" t="inlineStr">
        <is>
          <t>Deliveries</t>
        </is>
      </c>
      <c r="D13" s="22" t="inlineStr"/>
      <c r="E13" s="23" t="inlineStr">
        <is>
          <t>DISTINCTCOUNT(fact_Shipment[Delivery_Id])</t>
        </is>
      </c>
      <c r="F13" s="20" t="inlineStr">
        <is>
          <t>multiple</t>
        </is>
      </c>
      <c r="G13" s="24" t="inlineStr">
        <is>
          <t>Core</t>
        </is>
      </c>
      <c r="H13" s="20" t="inlineStr">
        <is>
          <t>#,0</t>
        </is>
      </c>
      <c r="I13" s="25" t="inlineStr">
        <is>
          <t>59,947</t>
        </is>
      </c>
    </row>
    <row r="14" ht="26" customHeight="1">
      <c r="A14" s="12" t="inlineStr">
        <is>
          <t>K-013</t>
        </is>
      </c>
      <c r="B14" s="13" t="inlineStr">
        <is>
          <t>01 Base</t>
        </is>
      </c>
      <c r="C14" s="14" t="inlineStr">
        <is>
          <t>Trips</t>
        </is>
      </c>
      <c r="D14" s="15" t="inlineStr"/>
      <c r="E14" s="16" t="inlineStr">
        <is>
          <t>DISTINCTCOUNT(fact_Shipment[Trip_Id])</t>
        </is>
      </c>
      <c r="F14" s="13" t="inlineStr">
        <is>
          <t>multiple</t>
        </is>
      </c>
      <c r="G14" s="17" t="inlineStr">
        <is>
          <t>Core</t>
        </is>
      </c>
      <c r="H14" s="13" t="inlineStr">
        <is>
          <t>#,0</t>
        </is>
      </c>
      <c r="I14" s="18" t="inlineStr">
        <is>
          <t>49,855</t>
        </is>
      </c>
    </row>
    <row r="15" ht="26" customHeight="1">
      <c r="A15" s="19" t="inlineStr">
        <is>
          <t>K-014</t>
        </is>
      </c>
      <c r="B15" s="20" t="inlineStr">
        <is>
          <t>02 Currency</t>
        </is>
      </c>
      <c r="C15" s="21" t="inlineStr">
        <is>
          <t>Price Source Lines</t>
        </is>
      </c>
      <c r="D15" s="22" t="inlineStr">
        <is>
          <t>USD price came straight from the source.</t>
        </is>
      </c>
      <c r="E15" s="23" t="inlineStr">
        <is>
          <t>CALCULATE(COUNTROWS(fact_SalesOrder), fact_SalesOrder[Price_USD_Quality] = "1 - Source")</t>
        </is>
      </c>
      <c r="F15" s="20" t="inlineStr">
        <is>
          <t>fact_SalesOrder</t>
        </is>
      </c>
      <c r="G15" s="24" t="inlineStr">
        <is>
          <t>Core</t>
        </is>
      </c>
      <c r="H15" s="20" t="inlineStr">
        <is>
          <t>#,0</t>
        </is>
      </c>
      <c r="I15" s="25" t="inlineStr">
        <is>
          <t>60,685</t>
        </is>
      </c>
    </row>
    <row r="16" ht="26" customHeight="1">
      <c r="A16" s="12" t="inlineStr">
        <is>
          <t>K-015</t>
        </is>
      </c>
      <c r="B16" s="13" t="inlineStr">
        <is>
          <t>02 Currency</t>
        </is>
      </c>
      <c r="C16" s="14" t="inlineStr">
        <is>
          <t>Price Converted Lines</t>
        </is>
      </c>
      <c r="D16" s="15" t="inlineStr">
        <is>
          <t>USD price computed from the three-tier rate hierarchy rather than supplied by the source.</t>
        </is>
      </c>
      <c r="E16" s="16" t="inlineStr">
        <is>
          <t>CALCULATE(COUNTROWS(fact_SalesOrder), fact_SalesOrder[Price_USD_Quality] = "2 - Converted")</t>
        </is>
      </c>
      <c r="F16" s="13" t="inlineStr">
        <is>
          <t>fact_SalesOrder</t>
        </is>
      </c>
      <c r="G16" s="17" t="inlineStr">
        <is>
          <t>Core</t>
        </is>
      </c>
      <c r="H16" s="13" t="inlineStr">
        <is>
          <t>#,0</t>
        </is>
      </c>
      <c r="I16" s="18" t="inlineStr">
        <is>
          <t>8,292</t>
        </is>
      </c>
    </row>
    <row r="17" ht="26" customHeight="1">
      <c r="A17" s="19" t="inlineStr">
        <is>
          <t>K-016</t>
        </is>
      </c>
      <c r="B17" s="20" t="inlineStr">
        <is>
          <t>02 Currency</t>
        </is>
      </c>
      <c r="C17" s="21" t="inlineStr">
        <is>
          <t>Price Unconvertible Lines</t>
        </is>
      </c>
      <c r="D17" s="22" t="inlineStr">
        <is>
          <t>No usable USD price. Zero on the v2 extract — kept as a guard.</t>
        </is>
      </c>
      <c r="E17" s="23" t="inlineStr">
        <is>
          <t>CALCULATE(COUNTROWS(fact_SalesOrder), fact_SalesOrder[Price_USD_Quality] = "3 - Not convertible")</t>
        </is>
      </c>
      <c r="F17" s="20" t="inlineStr">
        <is>
          <t>fact_SalesOrder</t>
        </is>
      </c>
      <c r="G17" s="24" t="inlineStr">
        <is>
          <t>Core</t>
        </is>
      </c>
      <c r="H17" s="20" t="inlineStr">
        <is>
          <t>#,0</t>
        </is>
      </c>
      <c r="I17" s="25" t="inlineStr">
        <is>
          <t>0</t>
        </is>
      </c>
    </row>
    <row r="18" ht="60.5" customHeight="1">
      <c r="A18" s="12" t="inlineStr">
        <is>
          <t>K-017</t>
        </is>
      </c>
      <c r="B18" s="13" t="inlineStr">
        <is>
          <t>02 Currency</t>
        </is>
      </c>
      <c r="C18" s="14" t="inlineStr">
        <is>
          <t>Price Coverage %</t>
        </is>
      </c>
      <c r="D18" s="15" t="inlineStr">
        <is>
          <t>Should read 100.000%. Put it on any page showing an average price.</t>
        </is>
      </c>
      <c r="E18" s="16" t="inlineStr">
        <is>
          <t xml:space="preserve">
DIVIDE(
    [Price Source Lines] + [Price Converted Lines],
    COUNTROWS(fact_SalesOrder)
)</t>
        </is>
      </c>
      <c r="F18" s="13" t="inlineStr">
        <is>
          <t>fact_SalesOrder</t>
        </is>
      </c>
      <c r="G18" s="17" t="inlineStr">
        <is>
          <t>Core</t>
        </is>
      </c>
      <c r="H18" s="13" t="inlineStr">
        <is>
          <t>0.0%</t>
        </is>
      </c>
      <c r="I18" s="18" t="inlineStr">
        <is>
          <t>100.000%</t>
        </is>
      </c>
    </row>
    <row r="19" ht="26" customHeight="1">
      <c r="A19" s="19" t="inlineStr">
        <is>
          <t>K-018</t>
        </is>
      </c>
      <c r="B19" s="20" t="inlineStr">
        <is>
          <t>02 Currency</t>
        </is>
      </c>
      <c r="C19" s="21" t="inlineStr">
        <is>
          <t>Currencies in Context</t>
        </is>
      </c>
      <c r="D19" s="22" t="inlineStr"/>
      <c r="E19" s="23" t="inlineStr">
        <is>
          <t>DISTINCTCOUNT(dim_SalesOrderLine[Currency_Code])</t>
        </is>
      </c>
      <c r="F19" s="20" t="inlineStr">
        <is>
          <t>fact_SalesOrder</t>
        </is>
      </c>
      <c r="G19" s="24" t="inlineStr">
        <is>
          <t>Core</t>
        </is>
      </c>
      <c r="H19" s="20" t="inlineStr">
        <is>
          <t>#,0</t>
        </is>
      </c>
      <c r="I19" s="25" t="inlineStr">
        <is>
          <t>9</t>
        </is>
      </c>
    </row>
    <row r="20" ht="50" customHeight="1">
      <c r="A20" s="12" t="inlineStr">
        <is>
          <t>K-019</t>
        </is>
      </c>
      <c r="B20" s="13" t="inlineStr">
        <is>
          <t>02 Currency</t>
        </is>
      </c>
      <c r="C20" s="14" t="inlineStr">
        <is>
          <t>Avg Selling Price USD</t>
        </is>
      </c>
      <c r="D20" s="15" t="inlineStr">
        <is>
          <t>Never average the local-currency column — it mixes nine currencies and will always return a number.</t>
        </is>
      </c>
      <c r="E20" s="16" t="inlineStr">
        <is>
          <t>CALCULATE(
    AVERAGE(fact_SalesOrder[Unit_Selling_Price_USD]),
    fact_SalesOrder[Price_USD_Quality] &lt;&gt; "3 - Not convertible"
)</t>
        </is>
      </c>
      <c r="F20" s="13" t="inlineStr">
        <is>
          <t>fact_SalesOrder</t>
        </is>
      </c>
      <c r="G20" s="17" t="inlineStr">
        <is>
          <t>Core</t>
        </is>
      </c>
      <c r="H20" s="13" t="inlineStr">
        <is>
          <t>\$#,0.00</t>
        </is>
      </c>
      <c r="I20" s="18" t="inlineStr">
        <is>
          <t>$2,234.19</t>
        </is>
      </c>
    </row>
    <row r="21" ht="50" customHeight="1">
      <c r="A21" s="19" t="inlineStr">
        <is>
          <t>K-020</t>
        </is>
      </c>
      <c r="B21" s="20" t="inlineStr">
        <is>
          <t>02 Currency</t>
        </is>
      </c>
      <c r="C21" s="21" t="inlineStr">
        <is>
          <t>Avg Selling Price USD (Source Only)</t>
        </is>
      </c>
      <c r="D21" s="22" t="inlineStr">
        <is>
          <t>Same figure using no converted rows. Compare to prove the conversion is not shifting the answer.</t>
        </is>
      </c>
      <c r="E21" s="23" t="inlineStr">
        <is>
          <t>CALCULATE(
    AVERAGE(fact_SalesOrder[Unit_Selling_Price_USD]),
    fact_SalesOrder[Price_USD_Quality] = "1 - Source"
)</t>
        </is>
      </c>
      <c r="F21" s="20" t="inlineStr">
        <is>
          <t>fact_SalesOrder</t>
        </is>
      </c>
      <c r="G21" s="24" t="inlineStr">
        <is>
          <t>Core</t>
        </is>
      </c>
      <c r="H21" s="20" t="inlineStr">
        <is>
          <t>\$#,0.00</t>
        </is>
      </c>
      <c r="I21" s="25" t="inlineStr">
        <is>
          <t>—</t>
        </is>
      </c>
    </row>
    <row r="22" ht="60.5" customHeight="1">
      <c r="A22" s="12" t="inlineStr">
        <is>
          <t>K-021</t>
        </is>
      </c>
      <c r="B22" s="13" t="inlineStr">
        <is>
          <t>02 Currency</t>
        </is>
      </c>
      <c r="C22" s="14" t="inlineStr">
        <is>
          <t>Conversion Impact %</t>
        </is>
      </c>
      <c r="D22" s="15" t="inlineStr">
        <is>
          <t>Gap between the all-rows and source-only figures. If it is material, review the rate basis.</t>
        </is>
      </c>
      <c r="E22" s="16" t="inlineStr">
        <is>
          <t xml:space="preserve">
DIVIDE(
    [Avg Selling Price USD] - [Avg Selling Price USD (Source Only)],
    [Avg Selling Price USD (Source Only)]
)</t>
        </is>
      </c>
      <c r="F22" s="13" t="inlineStr">
        <is>
          <t>fact_SalesOrder</t>
        </is>
      </c>
      <c r="G22" s="17" t="inlineStr">
        <is>
          <t>Core</t>
        </is>
      </c>
      <c r="H22" s="13" t="inlineStr">
        <is>
          <t>0.00%</t>
        </is>
      </c>
      <c r="I22" s="18" t="inlineStr">
        <is>
          <t>—</t>
        </is>
      </c>
    </row>
    <row r="23" ht="60.5" customHeight="1">
      <c r="A23" s="19" t="inlineStr">
        <is>
          <t>K-022</t>
        </is>
      </c>
      <c r="B23" s="20" t="inlineStr">
        <is>
          <t>02 Currency</t>
        </is>
      </c>
      <c r="C23" s="21" t="inlineStr">
        <is>
          <t>Applied FX Rate</t>
        </is>
      </c>
      <c r="D23" s="22" t="inlineStr">
        <is>
          <t>The Corporate rate actually applied, for audit. Blank when more than one currency is in context.</t>
        </is>
      </c>
      <c r="E23" s="23" t="inlineStr">
        <is>
          <t>IF(
    HASONEVALUE(dim_SalesOrderLine[CurrencyKey]),
    AVERAGE(fact_SalesOrder[FX_Rate]),
    BLANK()
)</t>
        </is>
      </c>
      <c r="F23" s="20" t="inlineStr">
        <is>
          <t>fact_SalesOrder</t>
        </is>
      </c>
      <c r="G23" s="24" t="inlineStr">
        <is>
          <t>Core</t>
        </is>
      </c>
      <c r="H23" s="20" t="inlineStr">
        <is>
          <t>#,0.00000</t>
        </is>
      </c>
      <c r="I23" s="25" t="inlineStr">
        <is>
          <t>varies</t>
        </is>
      </c>
    </row>
    <row r="24" ht="160" customHeight="1">
      <c r="A24" s="12" t="inlineStr">
        <is>
          <t>K-023</t>
        </is>
      </c>
      <c r="B24" s="13" t="inlineStr">
        <is>
          <t>02 Currency</t>
        </is>
      </c>
      <c r="C24" s="14" t="inlineStr">
        <is>
          <t>Currency Warning</t>
        </is>
      </c>
      <c r="D24" s="15" t="inlineStr">
        <is>
          <t>Fires when anything is missing or converted. Put it on the canvas of any price page.</t>
        </is>
      </c>
      <c r="E24" s="16" t="inlineStr">
        <is>
          <t xml:space="preserve">
VAR Unconvertible = [Price Unconvertible Lines]
VAR Coverage      = [Price Coverage %]
VAR Forward       = [Forward Rate Lines]
RETURN
    SWITCH(
        TRUE(),
        Unconvertible &gt; 0,
            "! " &amp; FORMAT(Unconvertible, "#,0") &amp; " lines have no USD price and are excluded",
        Coverage &lt; 1,
            "! Only " &amp; FORMAT(Coverage, "0.000%") &amp; " of lines have a usable USD price",
        Forward &gt; 0,
            "i " &amp; FORMAT(Forward, "#,0") &amp; " lines valued at a carried-forward rate",
        BLANK()
    )</t>
        </is>
      </c>
      <c r="F24" s="13" t="inlineStr">
        <is>
          <t>fact_SalesOrder</t>
        </is>
      </c>
      <c r="G24" s="17" t="inlineStr">
        <is>
          <t>Core</t>
        </is>
      </c>
      <c r="H24" s="13" t="inlineStr">
        <is>
          <t>text</t>
        </is>
      </c>
      <c r="I24" s="18" t="inlineStr">
        <is>
          <t>—</t>
        </is>
      </c>
    </row>
    <row r="25" ht="26" customHeight="1">
      <c r="A25" s="19" t="inlineStr">
        <is>
          <t>K-024</t>
        </is>
      </c>
      <c r="B25" s="20" t="inlineStr">
        <is>
          <t>02 Currency</t>
        </is>
      </c>
      <c r="C25" s="21" t="inlineStr">
        <is>
          <t>Lines Priced at Shipment Date</t>
        </is>
      </c>
      <c r="D25" s="22" t="inlineStr">
        <is>
          <t>Conversion struck on the actual shipment date — realised, not forward-looking.</t>
        </is>
      </c>
      <c r="E25" s="23" t="inlineStr">
        <is>
          <t>CALCULATE(COUNTROWS(fact_SalesOrder), fact_SalesOrder[FX_Date_Basis] = "2 - Actual shipment")</t>
        </is>
      </c>
      <c r="F25" s="20" t="inlineStr">
        <is>
          <t>fact_SalesOrder</t>
        </is>
      </c>
      <c r="G25" s="24" t="inlineStr">
        <is>
          <t>Core</t>
        </is>
      </c>
      <c r="H25" s="20" t="inlineStr">
        <is>
          <t>#,0</t>
        </is>
      </c>
      <c r="I25" s="25" t="inlineStr">
        <is>
          <t>30,617</t>
        </is>
      </c>
    </row>
    <row r="26" ht="102.5" customHeight="1">
      <c r="A26" s="12" t="inlineStr">
        <is>
          <t>K-025</t>
        </is>
      </c>
      <c r="B26" s="13" t="inlineStr">
        <is>
          <t>02 Currency</t>
        </is>
      </c>
      <c r="C26" s="14" t="inlineStr">
        <is>
          <t>FX Date Basis Fallback %</t>
        </is>
      </c>
      <c r="D26" s="15" t="inlineStr">
        <is>
          <t>Share of rows converted on a forward date because the line has not shipped yet.</t>
        </is>
      </c>
      <c r="E26" s="16" t="inlineStr">
        <is>
          <t xml:space="preserve">
DIVIDE(
    CALCULATE(
        COUNTROWS(fact_SalesOrder),
        NOT fact_SalesOrder[FX_Date_Basis] IN {
            "1 - Source Exchange_Date", "2 - Actual shipment", "3 - Fulfilment" }
    ),
    COUNTROWS(fact_SalesOrder)
)</t>
        </is>
      </c>
      <c r="F26" s="13" t="inlineStr">
        <is>
          <t>fact_SalesOrder</t>
        </is>
      </c>
      <c r="G26" s="17" t="inlineStr">
        <is>
          <t>Core</t>
        </is>
      </c>
      <c r="H26" s="13" t="inlineStr">
        <is>
          <t>0.0%</t>
        </is>
      </c>
      <c r="I26" s="18" t="inlineStr">
        <is>
          <t>5.3%</t>
        </is>
      </c>
    </row>
    <row r="27" ht="26" customHeight="1">
      <c r="A27" s="19" t="inlineStr">
        <is>
          <t>K-026</t>
        </is>
      </c>
      <c r="B27" s="20" t="inlineStr">
        <is>
          <t>02 Currency</t>
        </is>
      </c>
      <c r="C27" s="21" t="inlineStr">
        <is>
          <t>USC Lines</t>
        </is>
      </c>
      <c r="D27" s="22" t="inlineStr">
        <is>
          <t>Dolar Compra lines. Resolved 1:1 with USD by the rate table — kept visible because the code is unusual.</t>
        </is>
      </c>
      <c r="E27" s="23" t="inlineStr">
        <is>
          <t>CALCULATE(COUNTROWS(fact_SalesOrder), RELATED(dim_Currency[Currency_Code]) = "USC")</t>
        </is>
      </c>
      <c r="F27" s="20" t="inlineStr">
        <is>
          <t>fact_SalesOrder</t>
        </is>
      </c>
      <c r="G27" s="24" t="inlineStr">
        <is>
          <t>Core</t>
        </is>
      </c>
      <c r="H27" s="20" t="inlineStr">
        <is>
          <t>#,0</t>
        </is>
      </c>
      <c r="I27" s="25" t="inlineStr">
        <is>
          <t>2,976</t>
        </is>
      </c>
    </row>
    <row r="28" ht="26" customHeight="1">
      <c r="A28" s="12" t="inlineStr">
        <is>
          <t>K-027</t>
        </is>
      </c>
      <c r="B28" s="13" t="inlineStr">
        <is>
          <t>02 Currency</t>
        </is>
      </c>
      <c r="C28" s="14" t="inlineStr">
        <is>
          <t>Lines at Source Rate</t>
        </is>
      </c>
      <c r="D28" s="15" t="inlineStr">
        <is>
          <t>Rows using the rate the source itself supplied. It reproduces the USD price exactly.</t>
        </is>
      </c>
      <c r="E28" s="16" t="inlineStr">
        <is>
          <t>CALCULATE(COUNTROWS(fact_SalesOrder), fact_SalesOrder[FX_Rate_Source] = "Source Exchange_Rate")</t>
        </is>
      </c>
      <c r="F28" s="13" t="inlineStr">
        <is>
          <t>fact_SalesOrder</t>
        </is>
      </c>
      <c r="G28" s="17" t="inlineStr">
        <is>
          <t>Core</t>
        </is>
      </c>
      <c r="H28" s="13" t="inlineStr">
        <is>
          <t>#,0</t>
        </is>
      </c>
      <c r="I28" s="18" t="inlineStr">
        <is>
          <t>30,541</t>
        </is>
      </c>
    </row>
    <row r="29" ht="26" customHeight="1">
      <c r="A29" s="19" t="inlineStr">
        <is>
          <t>K-028</t>
        </is>
      </c>
      <c r="B29" s="20" t="inlineStr">
        <is>
          <t>02 Currency</t>
        </is>
      </c>
      <c r="C29" s="21" t="inlineStr">
        <is>
          <t>Lines at Table Rate</t>
        </is>
      </c>
      <c r="D29" s="22" t="inlineStr">
        <is>
          <t>Rows converted by looking the rate up in d_exchange_rate. The only tier that can be forward.</t>
        </is>
      </c>
      <c r="E29" s="23" t="inlineStr">
        <is>
          <t>CALCULATE(COUNTROWS(fact_SalesOrder), fact_SalesOrder[FX_Rate_Source] = "Corporate rate table")</t>
        </is>
      </c>
      <c r="F29" s="20" t="inlineStr">
        <is>
          <t>fact_SalesOrder</t>
        </is>
      </c>
      <c r="G29" s="24" t="inlineStr">
        <is>
          <t>Core</t>
        </is>
      </c>
      <c r="H29" s="20" t="inlineStr">
        <is>
          <t>#,0</t>
        </is>
      </c>
      <c r="I29" s="25" t="inlineStr">
        <is>
          <t>5,316</t>
        </is>
      </c>
    </row>
    <row r="30" ht="26" customHeight="1">
      <c r="A30" s="12" t="inlineStr">
        <is>
          <t>K-029</t>
        </is>
      </c>
      <c r="B30" s="13" t="inlineStr">
        <is>
          <t>02 Currency</t>
        </is>
      </c>
      <c r="C30" s="14" t="inlineStr">
        <is>
          <t>Lines at Identity Rate</t>
        </is>
      </c>
      <c r="D30" s="15" t="inlineStr">
        <is>
          <t>USD and USC rows. No conversion applied.</t>
        </is>
      </c>
      <c r="E30" s="16" t="inlineStr">
        <is>
          <t>CALCULATE(COUNTROWS(fact_SalesOrder), fact_SalesOrder[FX_Rate_Source] = "Identity (USD/USC)")</t>
        </is>
      </c>
      <c r="F30" s="13" t="inlineStr">
        <is>
          <t>fact_SalesOrder</t>
        </is>
      </c>
      <c r="G30" s="17" t="inlineStr">
        <is>
          <t>Core</t>
        </is>
      </c>
      <c r="H30" s="13" t="inlineStr">
        <is>
          <t>#,0</t>
        </is>
      </c>
      <c r="I30" s="18" t="inlineStr">
        <is>
          <t>33,120</t>
        </is>
      </c>
    </row>
    <row r="31" ht="26" customHeight="1">
      <c r="A31" s="19" t="inlineStr">
        <is>
          <t>K-030</t>
        </is>
      </c>
      <c r="B31" s="20" t="inlineStr">
        <is>
          <t>11 Data Quality</t>
        </is>
      </c>
      <c r="C31" s="21" t="inlineStr">
        <is>
          <t>Unresolved Rate Lines</t>
        </is>
      </c>
      <c r="D31" s="22" t="inlineStr">
        <is>
          <t>Must be zero. Anything here means a currency-region pair is missing from d_exchange_rate.</t>
        </is>
      </c>
      <c r="E31" s="23" t="inlineStr">
        <is>
          <t>CALCULATE(COUNTROWS(fact_SalesOrder), fact_SalesOrder[FX_Rate_Source] = "Unresolved")</t>
        </is>
      </c>
      <c r="F31" s="20" t="inlineStr">
        <is>
          <t>multiple</t>
        </is>
      </c>
      <c r="G31" s="24" t="inlineStr">
        <is>
          <t>Core</t>
        </is>
      </c>
      <c r="H31" s="20" t="inlineStr">
        <is>
          <t>#,0</t>
        </is>
      </c>
      <c r="I31" s="25" t="inlineStr">
        <is>
          <t>0</t>
        </is>
      </c>
    </row>
    <row r="32" ht="26" customHeight="1">
      <c r="A32" s="12" t="inlineStr">
        <is>
          <t>K-031</t>
        </is>
      </c>
      <c r="B32" s="13" t="inlineStr">
        <is>
          <t>02 Currency</t>
        </is>
      </c>
      <c r="C32" s="14" t="inlineStr">
        <is>
          <t>Lines Priced at Promise Date</t>
        </is>
      </c>
      <c r="D32" s="15" t="inlineStr">
        <is>
          <t>Open lines converted at the rate for the date promised to the customer. The forward-looking backlog basis.</t>
        </is>
      </c>
      <c r="E32" s="16" t="inlineStr">
        <is>
          <t>CALCULATE(COUNTROWS(fact_SalesOrder), fact_SalesOrder[FX_Date_Basis] = "4 - Promise date (forward)")</t>
        </is>
      </c>
      <c r="F32" s="13" t="inlineStr">
        <is>
          <t>fact_SalesOrder</t>
        </is>
      </c>
      <c r="G32" s="17" t="inlineStr">
        <is>
          <t>Core</t>
        </is>
      </c>
      <c r="H32" s="13" t="inlineStr">
        <is>
          <t>#,0</t>
        </is>
      </c>
      <c r="I32" s="18" t="inlineStr">
        <is>
          <t>3,168</t>
        </is>
      </c>
    </row>
    <row r="33" ht="26" customHeight="1">
      <c r="A33" s="19" t="inlineStr">
        <is>
          <t>K-032</t>
        </is>
      </c>
      <c r="B33" s="20" t="inlineStr">
        <is>
          <t>02 Currency</t>
        </is>
      </c>
      <c r="C33" s="21" t="inlineStr">
        <is>
          <t>Forward Rate Lines</t>
        </is>
      </c>
      <c r="D33" s="22" t="inlineStr">
        <is>
          <t>Rows whose FX date sits beyond the last quoted rate, so the last known rate is carried forward.</t>
        </is>
      </c>
      <c r="E33" s="23" t="inlineStr">
        <is>
          <t>CALCULATE(COUNTROWS(fact_SalesOrder), fact_SalesOrder[FX_Rate_Is_Forward] = TRUE())</t>
        </is>
      </c>
      <c r="F33" s="20" t="inlineStr">
        <is>
          <t>fact_SalesOrder</t>
        </is>
      </c>
      <c r="G33" s="24" t="inlineStr">
        <is>
          <t>Core</t>
        </is>
      </c>
      <c r="H33" s="20" t="inlineStr">
        <is>
          <t>#,0</t>
        </is>
      </c>
      <c r="I33" s="25" t="inlineStr">
        <is>
          <t>1,364</t>
        </is>
      </c>
    </row>
    <row r="34" ht="60.5" customHeight="1">
      <c r="A34" s="12" t="inlineStr">
        <is>
          <t>K-033</t>
        </is>
      </c>
      <c r="B34" s="13" t="inlineStr">
        <is>
          <t>02 Currency</t>
        </is>
      </c>
      <c r="C34" s="14" t="inlineStr">
        <is>
          <t>Forward Rate Exposure %</t>
        </is>
      </c>
      <c r="D34" s="15" t="inlineStr">
        <is>
          <t>How much of the model rests on a carried-forward rate rather than a quoted one.</t>
        </is>
      </c>
      <c r="E34" s="16" t="inlineStr">
        <is>
          <t xml:space="preserve">
DIVIDE(
    [Forward Rate Lines],
    COUNTROWS(fact_SalesOrder)
)</t>
        </is>
      </c>
      <c r="F34" s="13" t="inlineStr">
        <is>
          <t>fact_SalesOrder</t>
        </is>
      </c>
      <c r="G34" s="17" t="inlineStr">
        <is>
          <t>Core</t>
        </is>
      </c>
      <c r="H34" s="13" t="inlineStr">
        <is>
          <t>0.00%</t>
        </is>
      </c>
      <c r="I34" s="18" t="inlineStr">
        <is>
          <t>1.98%</t>
        </is>
      </c>
    </row>
    <row r="35" ht="60.5" customHeight="1">
      <c r="A35" s="19" t="inlineStr">
        <is>
          <t>K-034</t>
        </is>
      </c>
      <c r="B35" s="20" t="inlineStr">
        <is>
          <t>02 Currency</t>
        </is>
      </c>
      <c r="C35" s="21" t="inlineStr">
        <is>
          <t>Backlog MT at Forward Rate</t>
        </is>
      </c>
      <c r="D35" s="22" t="inlineStr">
        <is>
          <t>Open volume valued at a carried-forward rate. Re-values when d_exchange_rate is refreshed.</t>
        </is>
      </c>
      <c r="E35" s="23" t="inlineStr">
        <is>
          <t xml:space="preserve">
CALCULATE(
    [Backlog MT],
    fact_SalesOrder[FX_Rate_Is_Forward] = TRUE()
)</t>
        </is>
      </c>
      <c r="F35" s="20" t="inlineStr">
        <is>
          <t>fact_SalesOrder</t>
        </is>
      </c>
      <c r="G35" s="24" t="inlineStr">
        <is>
          <t>Core</t>
        </is>
      </c>
      <c r="H35" s="20" t="inlineStr">
        <is>
          <t>#,0</t>
        </is>
      </c>
      <c r="I35" s="25" t="inlineStr">
        <is>
          <t>~2.4m</t>
        </is>
      </c>
    </row>
    <row r="36" ht="60.5" customHeight="1">
      <c r="A36" s="12" t="inlineStr">
        <is>
          <t>K-035</t>
        </is>
      </c>
      <c r="B36" s="13" t="inlineStr">
        <is>
          <t>06 Order to Cash</t>
        </is>
      </c>
      <c r="C36" s="14" t="inlineStr">
        <is>
          <t>Backlog Value USD</t>
        </is>
      </c>
      <c r="D36" s="15" t="inlineStr">
        <is>
          <t>Open order book valued in USD. Unshipped lines convert at their promise-date rate, so this is a forward estimate.</t>
        </is>
      </c>
      <c r="E36" s="16" t="inlineStr">
        <is>
          <t xml:space="preserve">
SUMX(
    fact_SalesOrder,
    fact_SalesOrder[Ordered_MT_Signed] * fact_SalesOrder[Unit_Selling_Price_USD]
)</t>
        </is>
      </c>
      <c r="F36" s="13" t="inlineStr">
        <is>
          <t>multiple</t>
        </is>
      </c>
      <c r="G36" s="17" t="inlineStr">
        <is>
          <t>Core</t>
        </is>
      </c>
      <c r="H36" s="13" t="inlineStr">
        <is>
          <t>\$#,0</t>
        </is>
      </c>
      <c r="I36" s="18" t="inlineStr">
        <is>
          <t>forward estimate</t>
        </is>
      </c>
    </row>
    <row r="37" ht="102.5" customHeight="1">
      <c r="A37" s="19" t="inlineStr">
        <is>
          <t>K-036</t>
        </is>
      </c>
      <c r="B37" s="20" t="inlineStr">
        <is>
          <t>02 Currency</t>
        </is>
      </c>
      <c r="C37" s="21" t="inlineStr">
        <is>
          <t>Backlog Value Status</t>
        </is>
      </c>
      <c r="D37" s="22" t="inlineStr">
        <is>
          <t>Put this beside any backlog value so a forward estimate is never read as a settled figure.</t>
        </is>
      </c>
      <c r="E37" s="23" t="inlineStr">
        <is>
          <t xml:space="preserve">
VAR Fwd = [Forward Rate Exposure %]
RETURN
    IF(
        Fwd &gt; 0,
        "Includes " &amp; FORMAT([Forward Rate Lines], "#,0")
            &amp; " lines at a carried-forward rate",
        "All rates quoted"
    )</t>
        </is>
      </c>
      <c r="F37" s="20" t="inlineStr">
        <is>
          <t>fact_SalesOrder</t>
        </is>
      </c>
      <c r="G37" s="24" t="inlineStr">
        <is>
          <t>Core</t>
        </is>
      </c>
      <c r="H37" s="20" t="inlineStr">
        <is>
          <t>text</t>
        </is>
      </c>
      <c r="I37" s="25" t="inlineStr">
        <is>
          <t>caption</t>
        </is>
      </c>
    </row>
    <row r="38" ht="26" customHeight="1">
      <c r="A38" s="12" t="inlineStr">
        <is>
          <t>K-037</t>
        </is>
      </c>
      <c r="B38" s="13" t="inlineStr">
        <is>
          <t>03 Commercial</t>
        </is>
      </c>
      <c r="C38" s="14" t="inlineStr">
        <is>
          <t>Realised Price per MT</t>
        </is>
      </c>
      <c r="D38" s="15" t="inlineStr">
        <is>
          <t>Net revenue per tonne billed. The cleanest commercial measure in the model.</t>
        </is>
      </c>
      <c r="E38" s="16" t="inlineStr">
        <is>
          <t>DIVIDE([Net Revenue USD], [Invoiced MT])</t>
        </is>
      </c>
      <c r="F38" s="13" t="inlineStr">
        <is>
          <t>fact_Invoice</t>
        </is>
      </c>
      <c r="G38" s="17" t="inlineStr">
        <is>
          <t>Core</t>
        </is>
      </c>
      <c r="H38" s="13" t="inlineStr">
        <is>
          <t>\$#,0.00</t>
        </is>
      </c>
      <c r="I38" s="18" t="inlineStr">
        <is>
          <t>$676.40</t>
        </is>
      </c>
    </row>
    <row r="39" ht="26" customHeight="1">
      <c r="A39" s="19" t="inlineStr">
        <is>
          <t>K-038</t>
        </is>
      </c>
      <c r="B39" s="20" t="inlineStr">
        <is>
          <t>03 Commercial</t>
        </is>
      </c>
      <c r="C39" s="21" t="inlineStr">
        <is>
          <t>Revenue per Order Line</t>
        </is>
      </c>
      <c r="D39" s="22" t="inlineStr"/>
      <c r="E39" s="23" t="inlineStr">
        <is>
          <t>DIVIDE([Net Revenue USD], [Order Lines])</t>
        </is>
      </c>
      <c r="F39" s="20" t="inlineStr">
        <is>
          <t>fact_Invoice</t>
        </is>
      </c>
      <c r="G39" s="24" t="inlineStr">
        <is>
          <t>Core</t>
        </is>
      </c>
      <c r="H39" s="20" t="inlineStr">
        <is>
          <t>\$#,0</t>
        </is>
      </c>
      <c r="I39" s="25" t="inlineStr">
        <is>
          <t>$220,102</t>
        </is>
      </c>
    </row>
    <row r="40" ht="50" customHeight="1">
      <c r="A40" s="12" t="inlineStr">
        <is>
          <t>K-039</t>
        </is>
      </c>
      <c r="B40" s="13" t="inlineStr">
        <is>
          <t>03 Commercial</t>
        </is>
      </c>
      <c r="C40" s="14" t="inlineStr">
        <is>
          <t>Revenue by Invoice Date</t>
        </is>
      </c>
      <c r="D40" s="15" t="inlineStr">
        <is>
          <t>Activates the inactive invoice-date relationship. Finance will want this view.</t>
        </is>
      </c>
      <c r="E40" s="16" t="inlineStr">
        <is>
          <t>CALCULATE(
    [Net Revenue USD],
    USERELATIONSHIP(dim_Date[Date], fact_Invoice[Invoice_Date])
)</t>
        </is>
      </c>
      <c r="F40" s="13" t="inlineStr">
        <is>
          <t>fact_Invoice</t>
        </is>
      </c>
      <c r="G40" s="17" t="inlineStr">
        <is>
          <t>Core</t>
        </is>
      </c>
      <c r="H40" s="13" t="inlineStr">
        <is>
          <t>\$#,0</t>
        </is>
      </c>
      <c r="I40" s="18" t="inlineStr">
        <is>
          <t>—</t>
        </is>
      </c>
    </row>
    <row r="41" ht="26" customHeight="1">
      <c r="A41" s="19" t="inlineStr">
        <is>
          <t>K-040</t>
        </is>
      </c>
      <c r="B41" s="20" t="inlineStr">
        <is>
          <t>03 Commercial</t>
        </is>
      </c>
      <c r="C41" s="21" t="inlineStr">
        <is>
          <t>Revenue YTD</t>
        </is>
      </c>
      <c r="D41" s="22" t="inlineStr"/>
      <c r="E41" s="23" t="inlineStr">
        <is>
          <t>TOTALYTD([Revenue by Invoice Date], dim_Date[Date])</t>
        </is>
      </c>
      <c r="F41" s="20" t="inlineStr">
        <is>
          <t>fact_Invoice</t>
        </is>
      </c>
      <c r="G41" s="24" t="inlineStr">
        <is>
          <t>Core</t>
        </is>
      </c>
      <c r="H41" s="20" t="inlineStr">
        <is>
          <t>\$#,0</t>
        </is>
      </c>
      <c r="I41" s="25" t="inlineStr">
        <is>
          <t>—</t>
        </is>
      </c>
    </row>
    <row r="42" ht="26" customHeight="1">
      <c r="A42" s="12" t="inlineStr">
        <is>
          <t>K-041</t>
        </is>
      </c>
      <c r="B42" s="13" t="inlineStr">
        <is>
          <t>03 Commercial</t>
        </is>
      </c>
      <c r="C42" s="14" t="inlineStr">
        <is>
          <t>Revenue PM</t>
        </is>
      </c>
      <c r="D42" s="15" t="inlineStr"/>
      <c r="E42" s="16" t="inlineStr">
        <is>
          <t>CALCULATE([Revenue by Invoice Date], PREVIOUSMONTH(dim_Date[Date]))</t>
        </is>
      </c>
      <c r="F42" s="13" t="inlineStr">
        <is>
          <t>fact_Invoice</t>
        </is>
      </c>
      <c r="G42" s="17" t="inlineStr">
        <is>
          <t>Core</t>
        </is>
      </c>
      <c r="H42" s="13" t="inlineStr">
        <is>
          <t>\$#,0</t>
        </is>
      </c>
      <c r="I42" s="18" t="inlineStr">
        <is>
          <t>—</t>
        </is>
      </c>
    </row>
    <row r="43" ht="26" customHeight="1">
      <c r="A43" s="19" t="inlineStr">
        <is>
          <t>K-042</t>
        </is>
      </c>
      <c r="B43" s="20" t="inlineStr">
        <is>
          <t>03 Commercial</t>
        </is>
      </c>
      <c r="C43" s="21" t="inlineStr">
        <is>
          <t>Revenue MoM %</t>
        </is>
      </c>
      <c r="D43" s="22" t="inlineStr"/>
      <c r="E43" s="23" t="inlineStr">
        <is>
          <t>DIVIDE([Revenue by Invoice Date] - [Revenue PM], [Revenue PM])</t>
        </is>
      </c>
      <c r="F43" s="20" t="inlineStr">
        <is>
          <t>fact_Invoice</t>
        </is>
      </c>
      <c r="G43" s="24" t="inlineStr">
        <is>
          <t>Core</t>
        </is>
      </c>
      <c r="H43" s="20" t="inlineStr">
        <is>
          <t>0.0%</t>
        </is>
      </c>
      <c r="I43" s="25" t="inlineStr">
        <is>
          <t>—</t>
        </is>
      </c>
    </row>
    <row r="44" ht="50" customHeight="1">
      <c r="A44" s="12" t="inlineStr">
        <is>
          <t>K-043</t>
        </is>
      </c>
      <c r="B44" s="13" t="inlineStr">
        <is>
          <t>03 Commercial</t>
        </is>
      </c>
      <c r="C44" s="14" t="inlineStr">
        <is>
          <t>Revenue R3M Avg</t>
        </is>
      </c>
      <c r="D44" s="15" t="inlineStr">
        <is>
          <t>Smooths the monthly noise.</t>
        </is>
      </c>
      <c r="E44" s="16" t="inlineStr">
        <is>
          <t>CALCULATE(
    AVERAGEX(VALUES(dim_Date[Year_Month_Sort]), [Revenue by Invoice Date]),
    DATESINPERIOD(dim_Date[Date], MAX(dim_Date[Date]), -3, MONTH)
)</t>
        </is>
      </c>
      <c r="F44" s="13" t="inlineStr">
        <is>
          <t>fact_Invoice</t>
        </is>
      </c>
      <c r="G44" s="17" t="inlineStr">
        <is>
          <t>Core</t>
        </is>
      </c>
      <c r="H44" s="13" t="inlineStr">
        <is>
          <t>\$#,0</t>
        </is>
      </c>
      <c r="I44" s="18" t="inlineStr">
        <is>
          <t>—</t>
        </is>
      </c>
    </row>
    <row r="45" ht="26" customHeight="1">
      <c r="A45" s="19" t="inlineStr">
        <is>
          <t>K-044</t>
        </is>
      </c>
      <c r="B45" s="20" t="inlineStr">
        <is>
          <t>03 Commercial</t>
        </is>
      </c>
      <c r="C45" s="21" t="inlineStr">
        <is>
          <t>Realised Price PM</t>
        </is>
      </c>
      <c r="D45" s="22" t="inlineStr"/>
      <c r="E45" s="23" t="inlineStr">
        <is>
          <t>CALCULATE([Realised Price per MT], PREVIOUSMONTH(dim_Date[Date]))</t>
        </is>
      </c>
      <c r="F45" s="20" t="inlineStr">
        <is>
          <t>fact_Invoice</t>
        </is>
      </c>
      <c r="G45" s="24" t="inlineStr">
        <is>
          <t>Core</t>
        </is>
      </c>
      <c r="H45" s="20" t="inlineStr">
        <is>
          <t>\$#,0.00</t>
        </is>
      </c>
      <c r="I45" s="25" t="inlineStr">
        <is>
          <t>—</t>
        </is>
      </c>
    </row>
    <row r="46" ht="26" customHeight="1">
      <c r="A46" s="12" t="inlineStr">
        <is>
          <t>K-045</t>
        </is>
      </c>
      <c r="B46" s="13" t="inlineStr">
        <is>
          <t>03 Commercial</t>
        </is>
      </c>
      <c r="C46" s="14" t="inlineStr">
        <is>
          <t>Realised Price MoM %</t>
        </is>
      </c>
      <c r="D46" s="15" t="inlineStr"/>
      <c r="E46" s="16" t="inlineStr">
        <is>
          <t>DIVIDE([Realised Price per MT] - [Realised Price PM], [Realised Price PM])</t>
        </is>
      </c>
      <c r="F46" s="13" t="inlineStr">
        <is>
          <t>fact_Invoice</t>
        </is>
      </c>
      <c r="G46" s="17" t="inlineStr">
        <is>
          <t>Core</t>
        </is>
      </c>
      <c r="H46" s="13" t="inlineStr">
        <is>
          <t>0.0%</t>
        </is>
      </c>
      <c r="I46" s="18" t="inlineStr">
        <is>
          <t>—</t>
        </is>
      </c>
    </row>
    <row r="47" ht="26" customHeight="1">
      <c r="A47" s="19" t="inlineStr">
        <is>
          <t>K-046</t>
        </is>
      </c>
      <c r="B47" s="20" t="inlineStr">
        <is>
          <t>04 Price Bridge</t>
        </is>
      </c>
      <c r="C47" s="21" t="inlineStr">
        <is>
          <t>Base Revenue</t>
        </is>
      </c>
      <c r="D47" s="22" t="inlineStr"/>
      <c r="E47" s="23" t="inlineStr">
        <is>
          <t>SUM(fact_Invoice[Base_Amount])</t>
        </is>
      </c>
      <c r="F47" s="20" t="inlineStr">
        <is>
          <t>fact_Invoice</t>
        </is>
      </c>
      <c r="G47" s="24" t="inlineStr">
        <is>
          <t>Core</t>
        </is>
      </c>
      <c r="H47" s="20" t="inlineStr">
        <is>
          <t>\$#,0</t>
        </is>
      </c>
      <c r="I47" s="25" t="inlineStr">
        <is>
          <t>$8.95bn</t>
        </is>
      </c>
    </row>
    <row r="48" ht="26" customHeight="1">
      <c r="A48" s="12" t="inlineStr">
        <is>
          <t>K-047</t>
        </is>
      </c>
      <c r="B48" s="13" t="inlineStr">
        <is>
          <t>04 Price Bridge</t>
        </is>
      </c>
      <c r="C48" s="14" t="inlineStr">
        <is>
          <t>Regional Premium</t>
        </is>
      </c>
      <c r="D48" s="15" t="inlineStr"/>
      <c r="E48" s="16" t="inlineStr">
        <is>
          <t>SUM(fact_Invoice[Regional_Premium])</t>
        </is>
      </c>
      <c r="F48" s="13" t="inlineStr">
        <is>
          <t>fact_Invoice</t>
        </is>
      </c>
      <c r="G48" s="17" t="inlineStr">
        <is>
          <t>Core</t>
        </is>
      </c>
      <c r="H48" s="13" t="inlineStr">
        <is>
          <t>\$#,0</t>
        </is>
      </c>
      <c r="I48" s="18" t="inlineStr">
        <is>
          <t>$2.51bn</t>
        </is>
      </c>
    </row>
    <row r="49" ht="26" customHeight="1">
      <c r="A49" s="19" t="inlineStr">
        <is>
          <t>K-048</t>
        </is>
      </c>
      <c r="B49" s="20" t="inlineStr">
        <is>
          <t>04 Price Bridge</t>
        </is>
      </c>
      <c r="C49" s="21" t="inlineStr">
        <is>
          <t>Product Premium</t>
        </is>
      </c>
      <c r="D49" s="22" t="inlineStr"/>
      <c r="E49" s="23" t="inlineStr">
        <is>
          <t>SUM(fact_Invoice[Product_Premium])</t>
        </is>
      </c>
      <c r="F49" s="20" t="inlineStr">
        <is>
          <t>fact_Invoice</t>
        </is>
      </c>
      <c r="G49" s="24" t="inlineStr">
        <is>
          <t>Core</t>
        </is>
      </c>
      <c r="H49" s="20" t="inlineStr">
        <is>
          <t>\$#,0</t>
        </is>
      </c>
      <c r="I49" s="25" t="inlineStr">
        <is>
          <t>$372.9m</t>
        </is>
      </c>
    </row>
    <row r="50" ht="26" customHeight="1">
      <c r="A50" s="12" t="inlineStr">
        <is>
          <t>K-049</t>
        </is>
      </c>
      <c r="B50" s="13" t="inlineStr">
        <is>
          <t>04 Price Bridge</t>
        </is>
      </c>
      <c r="C50" s="14" t="inlineStr">
        <is>
          <t>Green Premium</t>
        </is>
      </c>
      <c r="D50" s="15" t="inlineStr"/>
      <c r="E50" s="16" t="inlineStr">
        <is>
          <t>SUM(fact_Invoice[Green_Premium])</t>
        </is>
      </c>
      <c r="F50" s="13" t="inlineStr">
        <is>
          <t>fact_Invoice</t>
        </is>
      </c>
      <c r="G50" s="17" t="inlineStr">
        <is>
          <t>Core</t>
        </is>
      </c>
      <c r="H50" s="13" t="inlineStr">
        <is>
          <t>\$#,0</t>
        </is>
      </c>
      <c r="I50" s="18" t="inlineStr">
        <is>
          <t>$7.5m</t>
        </is>
      </c>
    </row>
    <row r="51" ht="26" customHeight="1">
      <c r="A51" s="19" t="inlineStr">
        <is>
          <t>K-050</t>
        </is>
      </c>
      <c r="B51" s="20" t="inlineStr">
        <is>
          <t>04 Price Bridge</t>
        </is>
      </c>
      <c r="C51" s="21" t="inlineStr">
        <is>
          <t>Other Premium</t>
        </is>
      </c>
      <c r="D51" s="22" t="inlineStr"/>
      <c r="E51" s="23" t="inlineStr">
        <is>
          <t>SUM(fact_Invoice[Other_Premium])</t>
        </is>
      </c>
      <c r="F51" s="20" t="inlineStr">
        <is>
          <t>fact_Invoice</t>
        </is>
      </c>
      <c r="G51" s="24" t="inlineStr">
        <is>
          <t>Core</t>
        </is>
      </c>
      <c r="H51" s="20" t="inlineStr">
        <is>
          <t>\$#,0</t>
        </is>
      </c>
      <c r="I51" s="25" t="inlineStr">
        <is>
          <t>$0.2m</t>
        </is>
      </c>
    </row>
    <row r="52" ht="26" customHeight="1">
      <c r="A52" s="12" t="inlineStr">
        <is>
          <t>K-051</t>
        </is>
      </c>
      <c r="B52" s="13" t="inlineStr">
        <is>
          <t>04 Price Bridge</t>
        </is>
      </c>
      <c r="C52" s="14" t="inlineStr">
        <is>
          <t>Tariff Amount</t>
        </is>
      </c>
      <c r="D52" s="15" t="inlineStr"/>
      <c r="E52" s="16" t="inlineStr">
        <is>
          <t>SUM(fact_Invoice[Tariff_Amount])</t>
        </is>
      </c>
      <c r="F52" s="13" t="inlineStr">
        <is>
          <t>fact_Invoice</t>
        </is>
      </c>
      <c r="G52" s="17" t="inlineStr">
        <is>
          <t>Core</t>
        </is>
      </c>
      <c r="H52" s="13" t="inlineStr">
        <is>
          <t>\$#,0</t>
        </is>
      </c>
      <c r="I52" s="18" t="inlineStr">
        <is>
          <t>$28.4m</t>
        </is>
      </c>
    </row>
    <row r="53" ht="26" customHeight="1">
      <c r="A53" s="19" t="inlineStr">
        <is>
          <t>K-052</t>
        </is>
      </c>
      <c r="B53" s="20" t="inlineStr">
        <is>
          <t>04 Price Bridge</t>
        </is>
      </c>
      <c r="C53" s="21" t="inlineStr">
        <is>
          <t>Alloy Adjustment</t>
        </is>
      </c>
      <c r="D53" s="22" t="inlineStr"/>
      <c r="E53" s="23" t="inlineStr">
        <is>
          <t>SUM(fact_Invoice[Alloy_Amount])</t>
        </is>
      </c>
      <c r="F53" s="20" t="inlineStr">
        <is>
          <t>fact_Invoice</t>
        </is>
      </c>
      <c r="G53" s="24" t="inlineStr">
        <is>
          <t>Core</t>
        </is>
      </c>
      <c r="H53" s="20" t="inlineStr">
        <is>
          <t>\$#,0</t>
        </is>
      </c>
      <c r="I53" s="25" t="inlineStr">
        <is>
          <t>-$5.6m</t>
        </is>
      </c>
    </row>
    <row r="54" ht="26" customHeight="1">
      <c r="A54" s="12" t="inlineStr">
        <is>
          <t>K-053</t>
        </is>
      </c>
      <c r="B54" s="13" t="inlineStr">
        <is>
          <t>04 Price Bridge</t>
        </is>
      </c>
      <c r="C54" s="14" t="inlineStr">
        <is>
          <t>Total Premium USD</t>
        </is>
      </c>
      <c r="D54" s="15" t="inlineStr">
        <is>
          <t>All premium above the commodity base.</t>
        </is>
      </c>
      <c r="E54" s="16" t="inlineStr">
        <is>
          <t>[Regional Premium] + [Product Premium] + [Green Premium] + [Other Premium]</t>
        </is>
      </c>
      <c r="F54" s="13" t="inlineStr">
        <is>
          <t>fact_Invoice</t>
        </is>
      </c>
      <c r="G54" s="17" t="inlineStr">
        <is>
          <t>Core</t>
        </is>
      </c>
      <c r="H54" s="13" t="inlineStr">
        <is>
          <t>\$#,0</t>
        </is>
      </c>
      <c r="I54" s="18" t="inlineStr">
        <is>
          <t>$2.89bn</t>
        </is>
      </c>
    </row>
    <row r="55" ht="26" customHeight="1">
      <c r="A55" s="19" t="inlineStr">
        <is>
          <t>K-054</t>
        </is>
      </c>
      <c r="B55" s="20" t="inlineStr">
        <is>
          <t>04 Price Bridge</t>
        </is>
      </c>
      <c r="C55" s="21" t="inlineStr">
        <is>
          <t>Bridge MT</t>
        </is>
      </c>
      <c r="D55" s="22" t="inlineStr">
        <is>
          <t>Volume on lines carrying a full price breakdown.</t>
        </is>
      </c>
      <c r="E55" s="23" t="inlineStr">
        <is>
          <t>CALCULATE([Invoiced MT], fact_Invoice[Has_Price_Bridge] = TRUE())</t>
        </is>
      </c>
      <c r="F55" s="20" t="inlineStr">
        <is>
          <t>fact_Invoice</t>
        </is>
      </c>
      <c r="G55" s="24" t="inlineStr">
        <is>
          <t>Core</t>
        </is>
      </c>
      <c r="H55" s="20" t="inlineStr">
        <is>
          <t>#,0</t>
        </is>
      </c>
      <c r="I55" s="25" t="inlineStr">
        <is>
          <t>11,124,100</t>
        </is>
      </c>
    </row>
    <row r="56" ht="26" customHeight="1">
      <c r="A56" s="12" t="inlineStr">
        <is>
          <t>K-055</t>
        </is>
      </c>
      <c r="B56" s="13" t="inlineStr">
        <is>
          <t>04 Price Bridge</t>
        </is>
      </c>
      <c r="C56" s="14" t="inlineStr">
        <is>
          <t>Bridge Revenue USD</t>
        </is>
      </c>
      <c r="D56" s="15" t="inlineStr"/>
      <c r="E56" s="16" t="inlineStr">
        <is>
          <t>CALCULATE([Net Revenue USD], fact_Invoice[Has_Price_Bridge] = TRUE())</t>
        </is>
      </c>
      <c r="F56" s="13" t="inlineStr">
        <is>
          <t>fact_Invoice</t>
        </is>
      </c>
      <c r="G56" s="17" t="inlineStr">
        <is>
          <t>Core</t>
        </is>
      </c>
      <c r="H56" s="13" t="inlineStr">
        <is>
          <t>\$#,0</t>
        </is>
      </c>
      <c r="I56" s="18" t="inlineStr">
        <is>
          <t>—</t>
        </is>
      </c>
    </row>
    <row r="57" ht="26" customHeight="1">
      <c r="A57" s="19" t="inlineStr">
        <is>
          <t>K-056</t>
        </is>
      </c>
      <c r="B57" s="20" t="inlineStr">
        <is>
          <t>04 Price Bridge</t>
        </is>
      </c>
      <c r="C57" s="21" t="inlineStr">
        <is>
          <t>Price Bridge Coverage %</t>
        </is>
      </c>
      <c r="D57" s="22" t="inlineStr">
        <is>
          <t>How much of revenue the bridge explains. SAM and AUS carry none — always show this next to a bridge visual.</t>
        </is>
      </c>
      <c r="E57" s="23" t="inlineStr">
        <is>
          <t>DIVIDE([Bridge Revenue USD], [Net Revenue USD])</t>
        </is>
      </c>
      <c r="F57" s="20" t="inlineStr">
        <is>
          <t>fact_Invoice</t>
        </is>
      </c>
      <c r="G57" s="24" t="inlineStr">
        <is>
          <t>Core</t>
        </is>
      </c>
      <c r="H57" s="20" t="inlineStr">
        <is>
          <t>0.0%</t>
        </is>
      </c>
      <c r="I57" s="25" t="inlineStr">
        <is>
          <t>78.3%</t>
        </is>
      </c>
    </row>
    <row r="58" ht="26" customHeight="1">
      <c r="A58" s="12" t="inlineStr">
        <is>
          <t>K-057</t>
        </is>
      </c>
      <c r="B58" s="13" t="inlineStr">
        <is>
          <t>04 Price Bridge</t>
        </is>
      </c>
      <c r="C58" s="14" t="inlineStr">
        <is>
          <t>Premium % of Revenue</t>
        </is>
      </c>
      <c r="D58" s="15" t="inlineStr">
        <is>
          <t>Denominator restricted to bridge-covered lines, so the ratio is honest.</t>
        </is>
      </c>
      <c r="E58" s="16" t="inlineStr">
        <is>
          <t>DIVIDE([Total Premium USD], [Bridge Revenue USD])</t>
        </is>
      </c>
      <c r="F58" s="13" t="inlineStr">
        <is>
          <t>fact_Invoice</t>
        </is>
      </c>
      <c r="G58" s="17" t="inlineStr">
        <is>
          <t>Core</t>
        </is>
      </c>
      <c r="H58" s="13" t="inlineStr">
        <is>
          <t>0.0%</t>
        </is>
      </c>
      <c r="I58" s="18" t="inlineStr">
        <is>
          <t>19.2%</t>
        </is>
      </c>
    </row>
    <row r="59" ht="26" customHeight="1">
      <c r="A59" s="19" t="inlineStr">
        <is>
          <t>K-058</t>
        </is>
      </c>
      <c r="B59" s="20" t="inlineStr">
        <is>
          <t>04 Price Bridge</t>
        </is>
      </c>
      <c r="C59" s="21" t="inlineStr">
        <is>
          <t>Base Price per MT</t>
        </is>
      </c>
      <c r="D59" s="22" t="inlineStr"/>
      <c r="E59" s="23" t="inlineStr">
        <is>
          <t>DIVIDE([Base Revenue], [Bridge MT])</t>
        </is>
      </c>
      <c r="F59" s="20" t="inlineStr">
        <is>
          <t>fact_Invoice</t>
        </is>
      </c>
      <c r="G59" s="24" t="inlineStr">
        <is>
          <t>Core</t>
        </is>
      </c>
      <c r="H59" s="20" t="inlineStr">
        <is>
          <t>\$#,0.00</t>
        </is>
      </c>
      <c r="I59" s="25" t="inlineStr">
        <is>
          <t>$804.60</t>
        </is>
      </c>
    </row>
    <row r="60" ht="26" customHeight="1">
      <c r="A60" s="12" t="inlineStr">
        <is>
          <t>K-059</t>
        </is>
      </c>
      <c r="B60" s="13" t="inlineStr">
        <is>
          <t>04 Price Bridge</t>
        </is>
      </c>
      <c r="C60" s="14" t="inlineStr">
        <is>
          <t>Regional Premium per MT</t>
        </is>
      </c>
      <c r="D60" s="15" t="inlineStr"/>
      <c r="E60" s="16" t="inlineStr">
        <is>
          <t>DIVIDE([Regional Premium], [Bridge MT])</t>
        </is>
      </c>
      <c r="F60" s="13" t="inlineStr">
        <is>
          <t>fact_Invoice</t>
        </is>
      </c>
      <c r="G60" s="17" t="inlineStr">
        <is>
          <t>Core</t>
        </is>
      </c>
      <c r="H60" s="13" t="inlineStr">
        <is>
          <t>\$#,0.00</t>
        </is>
      </c>
      <c r="I60" s="18" t="inlineStr">
        <is>
          <t>—</t>
        </is>
      </c>
    </row>
    <row r="61" ht="26" customHeight="1">
      <c r="A61" s="19" t="inlineStr">
        <is>
          <t>K-060</t>
        </is>
      </c>
      <c r="B61" s="20" t="inlineStr">
        <is>
          <t>04 Price Bridge</t>
        </is>
      </c>
      <c r="C61" s="21" t="inlineStr">
        <is>
          <t>Product Premium per MT</t>
        </is>
      </c>
      <c r="D61" s="22" t="inlineStr"/>
      <c r="E61" s="23" t="inlineStr">
        <is>
          <t>DIVIDE([Product Premium], [Bridge MT])</t>
        </is>
      </c>
      <c r="F61" s="20" t="inlineStr">
        <is>
          <t>fact_Invoice</t>
        </is>
      </c>
      <c r="G61" s="24" t="inlineStr">
        <is>
          <t>Core</t>
        </is>
      </c>
      <c r="H61" s="20" t="inlineStr">
        <is>
          <t>\$#,0.00</t>
        </is>
      </c>
      <c r="I61" s="25" t="inlineStr">
        <is>
          <t>—</t>
        </is>
      </c>
    </row>
    <row r="62" ht="26" customHeight="1">
      <c r="A62" s="12" t="inlineStr">
        <is>
          <t>K-061</t>
        </is>
      </c>
      <c r="B62" s="13" t="inlineStr">
        <is>
          <t>04 Price Bridge</t>
        </is>
      </c>
      <c r="C62" s="14" t="inlineStr">
        <is>
          <t>Green Premium per MT</t>
        </is>
      </c>
      <c r="D62" s="15" t="inlineStr"/>
      <c r="E62" s="16" t="inlineStr">
        <is>
          <t>DIVIDE([Green Premium], [Bridge MT])</t>
        </is>
      </c>
      <c r="F62" s="13" t="inlineStr">
        <is>
          <t>fact_Invoice</t>
        </is>
      </c>
      <c r="G62" s="17" t="inlineStr">
        <is>
          <t>Core</t>
        </is>
      </c>
      <c r="H62" s="13" t="inlineStr">
        <is>
          <t>\$#,0.00</t>
        </is>
      </c>
      <c r="I62" s="18" t="inlineStr">
        <is>
          <t>—</t>
        </is>
      </c>
    </row>
    <row r="63" ht="26" customHeight="1">
      <c r="A63" s="19" t="inlineStr">
        <is>
          <t>K-062</t>
        </is>
      </c>
      <c r="B63" s="20" t="inlineStr">
        <is>
          <t>04 Price Bridge</t>
        </is>
      </c>
      <c r="C63" s="21" t="inlineStr">
        <is>
          <t>Premium per MT</t>
        </is>
      </c>
      <c r="D63" s="22" t="inlineStr"/>
      <c r="E63" s="23" t="inlineStr">
        <is>
          <t>DIVIDE([Total Premium USD], [Bridge MT])</t>
        </is>
      </c>
      <c r="F63" s="20" t="inlineStr">
        <is>
          <t>fact_Invoice</t>
        </is>
      </c>
      <c r="G63" s="24" t="inlineStr">
        <is>
          <t>Core</t>
        </is>
      </c>
      <c r="H63" s="20" t="inlineStr">
        <is>
          <t>\$#,0.00</t>
        </is>
      </c>
      <c r="I63" s="25" t="inlineStr">
        <is>
          <t>$259.57</t>
        </is>
      </c>
    </row>
    <row r="64" ht="26" customHeight="1">
      <c r="A64" s="12" t="inlineStr">
        <is>
          <t>K-063</t>
        </is>
      </c>
      <c r="B64" s="13" t="inlineStr">
        <is>
          <t>04 Price Bridge</t>
        </is>
      </c>
      <c r="C64" s="14" t="inlineStr">
        <is>
          <t>Bridge Realised Price per MT</t>
        </is>
      </c>
      <c r="D64" s="15" t="inlineStr">
        <is>
          <t>Components reconcile to this within 0.7%.</t>
        </is>
      </c>
      <c r="E64" s="16" t="inlineStr">
        <is>
          <t>DIVIDE([Bridge Revenue USD], [Bridge MT])</t>
        </is>
      </c>
      <c r="F64" s="13" t="inlineStr">
        <is>
          <t>fact_Invoice</t>
        </is>
      </c>
      <c r="G64" s="17" t="inlineStr">
        <is>
          <t>Core</t>
        </is>
      </c>
      <c r="H64" s="13" t="inlineStr">
        <is>
          <t>\$#,0.00</t>
        </is>
      </c>
      <c r="I64" s="18" t="inlineStr">
        <is>
          <t>$1,058.68</t>
        </is>
      </c>
    </row>
    <row r="65" ht="50" customHeight="1">
      <c r="A65" s="19" t="inlineStr">
        <is>
          <t>K-064</t>
        </is>
      </c>
      <c r="B65" s="20" t="inlineStr">
        <is>
          <t>04 Price Bridge</t>
        </is>
      </c>
      <c r="C65" s="21" t="inlineStr">
        <is>
          <t>Green Premium Penetration %</t>
        </is>
      </c>
      <c r="D65" s="22" t="inlineStr">
        <is>
          <t>Share of invoice lines carrying a green premium.</t>
        </is>
      </c>
      <c r="E65" s="23" t="inlineStr">
        <is>
          <t>DIVIDE(
    CALCULATE(COUNTROWS(fact_Invoice), fact_Invoice[Green_Premium] &lt;&gt; 0),
    COUNTROWS(fact_Invoice)
)</t>
        </is>
      </c>
      <c r="F65" s="20" t="inlineStr">
        <is>
          <t>fact_Invoice</t>
        </is>
      </c>
      <c r="G65" s="24" t="inlineStr">
        <is>
          <t>Core</t>
        </is>
      </c>
      <c r="H65" s="20" t="inlineStr">
        <is>
          <t>0.0%</t>
        </is>
      </c>
      <c r="I65" s="25" t="inlineStr">
        <is>
          <t>9.3%</t>
        </is>
      </c>
    </row>
    <row r="66" ht="26" customHeight="1">
      <c r="A66" s="12" t="inlineStr">
        <is>
          <t>K-065</t>
        </is>
      </c>
      <c r="B66" s="13" t="inlineStr">
        <is>
          <t>05 Revenue Quality</t>
        </is>
      </c>
      <c r="C66" s="14" t="inlineStr">
        <is>
          <t>Credit Rate %</t>
        </is>
      </c>
      <c r="D66" s="15" t="inlineStr">
        <is>
          <t>Billing accuracy in one number.</t>
        </is>
      </c>
      <c r="E66" s="16" t="inlineStr">
        <is>
          <t>DIVIDE(ABS([Credits USD]), [Gross Revenue USD])</t>
        </is>
      </c>
      <c r="F66" s="13" t="inlineStr">
        <is>
          <t>fact_Invoice</t>
        </is>
      </c>
      <c r="G66" s="17" t="inlineStr">
        <is>
          <t>Core</t>
        </is>
      </c>
      <c r="H66" s="13" t="inlineStr">
        <is>
          <t>0.00%</t>
        </is>
      </c>
      <c r="I66" s="18" t="inlineStr">
        <is>
          <t>1.51%</t>
        </is>
      </c>
    </row>
    <row r="67" ht="26" customHeight="1">
      <c r="A67" s="19" t="inlineStr">
        <is>
          <t>K-066</t>
        </is>
      </c>
      <c r="B67" s="20" t="inlineStr">
        <is>
          <t>05 Revenue Quality</t>
        </is>
      </c>
      <c r="C67" s="21" t="inlineStr">
        <is>
          <t>Credit Memo Lines</t>
        </is>
      </c>
      <c r="D67" s="22" t="inlineStr"/>
      <c r="E67" s="23" t="inlineStr">
        <is>
          <t>CALCULATE(COUNTROWS(fact_Invoice), fact_Invoice[Is_Credit_Memo] = TRUE())</t>
        </is>
      </c>
      <c r="F67" s="20" t="inlineStr">
        <is>
          <t>fact_Invoice</t>
        </is>
      </c>
      <c r="G67" s="24" t="inlineStr">
        <is>
          <t>Core</t>
        </is>
      </c>
      <c r="H67" s="20" t="inlineStr">
        <is>
          <t>#,0</t>
        </is>
      </c>
      <c r="I67" s="25" t="inlineStr">
        <is>
          <t>4,924</t>
        </is>
      </c>
    </row>
    <row r="68" ht="26" customHeight="1">
      <c r="A68" s="12" t="inlineStr">
        <is>
          <t>K-067</t>
        </is>
      </c>
      <c r="B68" s="13" t="inlineStr">
        <is>
          <t>05 Revenue Quality</t>
        </is>
      </c>
      <c r="C68" s="14" t="inlineStr">
        <is>
          <t>Credit Memo Rate %</t>
        </is>
      </c>
      <c r="D68" s="15" t="inlineStr"/>
      <c r="E68" s="16" t="inlineStr">
        <is>
          <t>DIVIDE([Credit Memo Lines], COUNTROWS(fact_Invoice))</t>
        </is>
      </c>
      <c r="F68" s="13" t="inlineStr">
        <is>
          <t>fact_Invoice</t>
        </is>
      </c>
      <c r="G68" s="17" t="inlineStr">
        <is>
          <t>Core</t>
        </is>
      </c>
      <c r="H68" s="13" t="inlineStr">
        <is>
          <t>0.0%</t>
        </is>
      </c>
      <c r="I68" s="18" t="inlineStr">
        <is>
          <t>6.19%</t>
        </is>
      </c>
    </row>
    <row r="69" ht="26" customHeight="1">
      <c r="A69" s="19" t="inlineStr">
        <is>
          <t>K-068</t>
        </is>
      </c>
      <c r="B69" s="20" t="inlineStr">
        <is>
          <t>05 Revenue Quality</t>
        </is>
      </c>
      <c r="C69" s="21" t="inlineStr">
        <is>
          <t>Avg Credit Value</t>
        </is>
      </c>
      <c r="D69" s="22" t="inlineStr"/>
      <c r="E69" s="23" t="inlineStr">
        <is>
          <t>DIVIDE([Credits USD], [Credit Memo Lines])</t>
        </is>
      </c>
      <c r="F69" s="20" t="inlineStr">
        <is>
          <t>fact_Invoice</t>
        </is>
      </c>
      <c r="G69" s="24" t="inlineStr">
        <is>
          <t>Core</t>
        </is>
      </c>
      <c r="H69" s="20" t="inlineStr">
        <is>
          <t>\$#,0</t>
        </is>
      </c>
      <c r="I69" s="25" t="inlineStr">
        <is>
          <t>-$46,652</t>
        </is>
      </c>
    </row>
    <row r="70" ht="50" customHeight="1">
      <c r="A70" s="12" t="inlineStr">
        <is>
          <t>K-069</t>
        </is>
      </c>
      <c r="B70" s="13" t="inlineStr">
        <is>
          <t>05 Revenue Quality</t>
        </is>
      </c>
      <c r="C70" s="14" t="inlineStr">
        <is>
          <t>Credits by Invoice Date</t>
        </is>
      </c>
      <c r="D70" s="15" t="inlineStr"/>
      <c r="E70" s="16" t="inlineStr">
        <is>
          <t>CALCULATE(
    [Credits USD],
    USERELATIONSHIP(dim_Date[Date], fact_Invoice[Invoice_Date])
)</t>
        </is>
      </c>
      <c r="F70" s="13" t="inlineStr">
        <is>
          <t>fact_Invoice</t>
        </is>
      </c>
      <c r="G70" s="17" t="inlineStr">
        <is>
          <t>Core</t>
        </is>
      </c>
      <c r="H70" s="13" t="inlineStr">
        <is>
          <t>\$#,0</t>
        </is>
      </c>
      <c r="I70" s="18" t="inlineStr">
        <is>
          <t>—</t>
        </is>
      </c>
    </row>
    <row r="71" ht="71" customHeight="1">
      <c r="A71" s="19" t="inlineStr">
        <is>
          <t>K-070</t>
        </is>
      </c>
      <c r="B71" s="20" t="inlineStr">
        <is>
          <t>05 Revenue Quality</t>
        </is>
      </c>
      <c r="C71" s="21" t="inlineStr">
        <is>
          <t>Credit Rate by Invoice Date</t>
        </is>
      </c>
      <c r="D71" s="22" t="inlineStr">
        <is>
          <t>The trend that matters. On the order-date timeline the spike is invisible.</t>
        </is>
      </c>
      <c r="E71" s="23" t="inlineStr">
        <is>
          <t>VAR G =
    CALCULATE([Gross Revenue USD], USERELATIONSHIP(dim_Date[Date], fact_Invoice[Invoice_Date]))
VAR C =
    CALCULATE([Credits USD], USERELATIONSHIP(dim_Date[Date], fact_Invoice[Invoice_Date]))
RETURN
    DIVIDE(ABS(C), G)</t>
        </is>
      </c>
      <c r="F71" s="20" t="inlineStr">
        <is>
          <t>fact_Invoice</t>
        </is>
      </c>
      <c r="G71" s="24" t="inlineStr">
        <is>
          <t>Core</t>
        </is>
      </c>
      <c r="H71" s="20" t="inlineStr">
        <is>
          <t>0.00%</t>
        </is>
      </c>
      <c r="I71" s="25" t="inlineStr">
        <is>
          <t>—</t>
        </is>
      </c>
    </row>
    <row r="72" ht="102.5" customHeight="1">
      <c r="A72" s="12" t="inlineStr">
        <is>
          <t>K-071</t>
        </is>
      </c>
      <c r="B72" s="13" t="inlineStr">
        <is>
          <t>05 Revenue Quality</t>
        </is>
      </c>
      <c r="C72" s="14" t="inlineStr">
        <is>
          <t>Credit Rate Status</t>
        </is>
      </c>
      <c r="D72" s="15" t="inlineStr">
        <is>
          <t>Traffic light against a 1% watch and 2% critical threshold.</t>
        </is>
      </c>
      <c r="E72" s="16" t="inlineStr">
        <is>
          <t>VAR r = [Credit Rate by Invoice Date]
RETURN
    SWITCH(
        TRUE(),
        ISBLANK(r),  BLANK(),
        r &gt;= 0.02,   "Critical",
        r &gt;= 0.01,   "Watch",
        "Healthy"
    )</t>
        </is>
      </c>
      <c r="F72" s="13" t="inlineStr">
        <is>
          <t>fact_Invoice</t>
        </is>
      </c>
      <c r="G72" s="17" t="inlineStr">
        <is>
          <t>Core</t>
        </is>
      </c>
      <c r="H72" s="13" t="inlineStr">
        <is>
          <t>text</t>
        </is>
      </c>
      <c r="I72" s="18" t="inlineStr">
        <is>
          <t>—</t>
        </is>
      </c>
    </row>
    <row r="73" ht="26" customHeight="1">
      <c r="A73" s="19" t="inlineStr">
        <is>
          <t>K-072</t>
        </is>
      </c>
      <c r="B73" s="20" t="inlineStr">
        <is>
          <t>06 Order to Cash</t>
        </is>
      </c>
      <c r="C73" s="21" t="inlineStr">
        <is>
          <t>Fulfilment Rate %</t>
        </is>
      </c>
      <c r="D73" s="22" t="inlineStr">
        <is>
          <t>Share of ordered volume shipped.</t>
        </is>
      </c>
      <c r="E73" s="23" t="inlineStr">
        <is>
          <t>DIVIDE([Shipped MT Order View], [Ordered MT])</t>
        </is>
      </c>
      <c r="F73" s="20" t="inlineStr">
        <is>
          <t>multiple</t>
        </is>
      </c>
      <c r="G73" s="24" t="inlineStr">
        <is>
          <t>Core</t>
        </is>
      </c>
      <c r="H73" s="20" t="inlineStr">
        <is>
          <t>0.0%</t>
        </is>
      </c>
      <c r="I73" s="25" t="inlineStr">
        <is>
          <t>80.3%</t>
        </is>
      </c>
    </row>
    <row r="74" ht="26" customHeight="1">
      <c r="A74" s="12" t="inlineStr">
        <is>
          <t>K-073</t>
        </is>
      </c>
      <c r="B74" s="13" t="inlineStr">
        <is>
          <t>06 Order to Cash</t>
        </is>
      </c>
      <c r="C74" s="14" t="inlineStr">
        <is>
          <t>Billing Rate %</t>
        </is>
      </c>
      <c r="D74" s="15" t="inlineStr">
        <is>
          <t>Share of shipped volume invoiced.</t>
        </is>
      </c>
      <c r="E74" s="16" t="inlineStr">
        <is>
          <t>DIVIDE([Invoiced MT], [Shipped MT Order View])</t>
        </is>
      </c>
      <c r="F74" s="13" t="inlineStr">
        <is>
          <t>multiple</t>
        </is>
      </c>
      <c r="G74" s="17" t="inlineStr">
        <is>
          <t>Core</t>
        </is>
      </c>
      <c r="H74" s="13" t="inlineStr">
        <is>
          <t>0.0%</t>
        </is>
      </c>
      <c r="I74" s="18" t="inlineStr">
        <is>
          <t>100.0%</t>
        </is>
      </c>
    </row>
    <row r="75" ht="26" customHeight="1">
      <c r="A75" s="19" t="inlineStr">
        <is>
          <t>K-074</t>
        </is>
      </c>
      <c r="B75" s="20" t="inlineStr">
        <is>
          <t>06 Order to Cash</t>
        </is>
      </c>
      <c r="C75" s="21" t="inlineStr">
        <is>
          <t>OTC Conversion %</t>
        </is>
      </c>
      <c r="D75" s="22" t="inlineStr"/>
      <c r="E75" s="23" t="inlineStr">
        <is>
          <t>DIVIDE([Invoiced MT], [Ordered MT])</t>
        </is>
      </c>
      <c r="F75" s="20" t="inlineStr">
        <is>
          <t>multiple</t>
        </is>
      </c>
      <c r="G75" s="24" t="inlineStr">
        <is>
          <t>Core</t>
        </is>
      </c>
      <c r="H75" s="20" t="inlineStr">
        <is>
          <t>0.0%</t>
        </is>
      </c>
      <c r="I75" s="25" t="inlineStr">
        <is>
          <t>80.9%</t>
        </is>
      </c>
    </row>
    <row r="76" ht="26" customHeight="1">
      <c r="A76" s="12" t="inlineStr">
        <is>
          <t>K-075</t>
        </is>
      </c>
      <c r="B76" s="13" t="inlineStr">
        <is>
          <t>06 Order to Cash</t>
        </is>
      </c>
      <c r="C76" s="14" t="inlineStr">
        <is>
          <t>Open to Ship MT</t>
        </is>
      </c>
      <c r="D76" s="15" t="inlineStr"/>
      <c r="E76" s="16" t="inlineStr">
        <is>
          <t>[Ordered MT] - [Shipped MT Order View]</t>
        </is>
      </c>
      <c r="F76" s="13" t="inlineStr">
        <is>
          <t>multiple</t>
        </is>
      </c>
      <c r="G76" s="17" t="inlineStr">
        <is>
          <t>Core</t>
        </is>
      </c>
      <c r="H76" s="13" t="inlineStr">
        <is>
          <t>#,0</t>
        </is>
      </c>
      <c r="I76" s="18" t="inlineStr">
        <is>
          <t>—</t>
        </is>
      </c>
    </row>
    <row r="77" ht="26" customHeight="1">
      <c r="A77" s="19" t="inlineStr">
        <is>
          <t>K-076</t>
        </is>
      </c>
      <c r="B77" s="20" t="inlineStr">
        <is>
          <t>06 Order to Cash</t>
        </is>
      </c>
      <c r="C77" s="21" t="inlineStr">
        <is>
          <t>Unbilled Shipped MT</t>
        </is>
      </c>
      <c r="D77" s="22" t="inlineStr">
        <is>
          <t>Shipped but not invoiced. Should sit near zero.</t>
        </is>
      </c>
      <c r="E77" s="23" t="inlineStr">
        <is>
          <t>[Shipped MT Order View] - [Invoiced MT]</t>
        </is>
      </c>
      <c r="F77" s="20" t="inlineStr">
        <is>
          <t>multiple</t>
        </is>
      </c>
      <c r="G77" s="24" t="inlineStr">
        <is>
          <t>Core</t>
        </is>
      </c>
      <c r="H77" s="20" t="inlineStr">
        <is>
          <t>#,0</t>
        </is>
      </c>
      <c r="I77" s="25" t="inlineStr">
        <is>
          <t>—</t>
        </is>
      </c>
    </row>
    <row r="78" ht="26" customHeight="1">
      <c r="A78" s="12" t="inlineStr">
        <is>
          <t>K-077</t>
        </is>
      </c>
      <c r="B78" s="13" t="inlineStr">
        <is>
          <t>06 Order to Cash</t>
        </is>
      </c>
      <c r="C78" s="14" t="inlineStr">
        <is>
          <t>Backlog MT</t>
        </is>
      </c>
      <c r="D78" s="15" t="inlineStr"/>
      <c r="E78" s="16" t="inlineStr">
        <is>
          <t>CALCULATE([Ordered MT], dim_SalesOrderLine[Is_Open] = TRUE())</t>
        </is>
      </c>
      <c r="F78" s="13" t="inlineStr">
        <is>
          <t>multiple</t>
        </is>
      </c>
      <c r="G78" s="17" t="inlineStr">
        <is>
          <t>Core</t>
        </is>
      </c>
      <c r="H78" s="13" t="inlineStr">
        <is>
          <t>#,0</t>
        </is>
      </c>
      <c r="I78" s="18" t="inlineStr">
        <is>
          <t>4,225,606</t>
        </is>
      </c>
    </row>
    <row r="79" ht="26" customHeight="1">
      <c r="A79" s="19" t="inlineStr">
        <is>
          <t>K-078</t>
        </is>
      </c>
      <c r="B79" s="20" t="inlineStr">
        <is>
          <t>06 Order to Cash</t>
        </is>
      </c>
      <c r="C79" s="21" t="inlineStr">
        <is>
          <t>Open Order Lines</t>
        </is>
      </c>
      <c r="D79" s="22" t="inlineStr"/>
      <c r="E79" s="23" t="inlineStr">
        <is>
          <t>CALCULATE([Order Lines], dim_SalesOrderLine[Is_Open] = TRUE())</t>
        </is>
      </c>
      <c r="F79" s="20" t="inlineStr">
        <is>
          <t>multiple</t>
        </is>
      </c>
      <c r="G79" s="24" t="inlineStr">
        <is>
          <t>Core</t>
        </is>
      </c>
      <c r="H79" s="20" t="inlineStr">
        <is>
          <t>#,0</t>
        </is>
      </c>
      <c r="I79" s="25" t="inlineStr">
        <is>
          <t>5,369</t>
        </is>
      </c>
    </row>
    <row r="80" ht="26" customHeight="1">
      <c r="A80" s="12" t="inlineStr">
        <is>
          <t>K-079</t>
        </is>
      </c>
      <c r="B80" s="13" t="inlineStr">
        <is>
          <t>06 Order to Cash</t>
        </is>
      </c>
      <c r="C80" s="14" t="inlineStr">
        <is>
          <t>Cancelled Lines</t>
        </is>
      </c>
      <c r="D80" s="15" t="inlineStr">
        <is>
          <t>Should be zero — the source query intends to exclude these. See the SQL precedence note.</t>
        </is>
      </c>
      <c r="E80" s="16" t="inlineStr">
        <is>
          <t>CALCULATE([Order Lines], dim_SalesOrderLine[Is_Cancelled] = TRUE())</t>
        </is>
      </c>
      <c r="F80" s="13" t="inlineStr">
        <is>
          <t>multiple</t>
        </is>
      </c>
      <c r="G80" s="17" t="inlineStr">
        <is>
          <t>Core</t>
        </is>
      </c>
      <c r="H80" s="13" t="inlineStr">
        <is>
          <t>#,0</t>
        </is>
      </c>
      <c r="I80" s="18" t="inlineStr">
        <is>
          <t>0</t>
        </is>
      </c>
    </row>
    <row r="81" ht="26" customHeight="1">
      <c r="A81" s="19" t="inlineStr">
        <is>
          <t>K-080</t>
        </is>
      </c>
      <c r="B81" s="20" t="inlineStr">
        <is>
          <t>06 Order to Cash</t>
        </is>
      </c>
      <c r="C81" s="21" t="inlineStr">
        <is>
          <t>Cancellation Rate %</t>
        </is>
      </c>
      <c r="D81" s="22" t="inlineStr"/>
      <c r="E81" s="23" t="inlineStr">
        <is>
          <t>DIVIDE([Cancelled Lines], [Order Lines])</t>
        </is>
      </c>
      <c r="F81" s="20" t="inlineStr">
        <is>
          <t>multiple</t>
        </is>
      </c>
      <c r="G81" s="24" t="inlineStr">
        <is>
          <t>Core</t>
        </is>
      </c>
      <c r="H81" s="20" t="inlineStr">
        <is>
          <t>0.00%</t>
        </is>
      </c>
      <c r="I81" s="25" t="inlineStr">
        <is>
          <t>0.00%</t>
        </is>
      </c>
    </row>
    <row r="82" ht="81.5" customHeight="1">
      <c r="A82" s="12" t="inlineStr">
        <is>
          <t>K-081</t>
        </is>
      </c>
      <c r="B82" s="13" t="inlineStr">
        <is>
          <t>06 Order to Cash</t>
        </is>
      </c>
      <c r="C82" s="14" t="inlineStr">
        <is>
          <t>Backlog Coverage Days</t>
        </is>
      </c>
      <c r="D82" s="15" t="inlineStr">
        <is>
          <t>How many days of recent shipping the order book represents.</t>
        </is>
      </c>
      <c r="E82" s="16" t="inlineStr">
        <is>
          <t>VAR RecentShipped =
    CALCULATE(
        [Shipped MT],
        DATESINPERIOD(dim_Date[Date], MAX(dim_Date[Date]), -90, DAY)
    )
RETURN
    DIVIDE([Backlog MT], DIVIDE(RecentShipped, 90))</t>
        </is>
      </c>
      <c r="F82" s="13" t="inlineStr">
        <is>
          <t>multiple</t>
        </is>
      </c>
      <c r="G82" s="17" t="inlineStr">
        <is>
          <t>Core</t>
        </is>
      </c>
      <c r="H82" s="13" t="inlineStr">
        <is>
          <t>#,0.0</t>
        </is>
      </c>
      <c r="I82" s="18" t="inlineStr">
        <is>
          <t>—</t>
        </is>
      </c>
    </row>
    <row r="83" ht="26" customHeight="1">
      <c r="A83" s="19" t="inlineStr">
        <is>
          <t>K-082</t>
        </is>
      </c>
      <c r="B83" s="20" t="inlineStr">
        <is>
          <t>07 Service</t>
        </is>
      </c>
      <c r="C83" s="21" t="inlineStr">
        <is>
          <t>Lines Shipped</t>
        </is>
      </c>
      <c r="D83" s="22" t="inlineStr"/>
      <c r="E83" s="23" t="inlineStr">
        <is>
          <t>CALCULATE([Order Lines], NOT ISBLANK(dim_SalesOrderLine[Actual_Shipment_Date]))</t>
        </is>
      </c>
      <c r="F83" s="20" t="inlineStr">
        <is>
          <t>dim_SalesOrderLine</t>
        </is>
      </c>
      <c r="G83" s="24" t="inlineStr">
        <is>
          <t>Core</t>
        </is>
      </c>
      <c r="H83" s="20" t="inlineStr">
        <is>
          <t>#,0</t>
        </is>
      </c>
      <c r="I83" s="25" t="inlineStr">
        <is>
          <t>58,906</t>
        </is>
      </c>
    </row>
    <row r="84" ht="113" customHeight="1">
      <c r="A84" s="12" t="inlineStr">
        <is>
          <t>K-083</t>
        </is>
      </c>
      <c r="B84" s="13" t="inlineStr">
        <is>
          <t>07 Service</t>
        </is>
      </c>
      <c r="C84" s="14" t="inlineStr">
        <is>
          <t>On Time vs Schedule %</t>
        </is>
      </c>
      <c r="D84" s="15" t="inlineStr">
        <is>
          <t>The internal-commitment view.</t>
        </is>
      </c>
      <c r="E84" s="16" t="inlineStr">
        <is>
          <t>VAR Base =
    CALCULATE(
        [Order Lines],
        NOT ISBLANK(dim_SalesOrderLine[Actual_Shipment_Date]),
        NOT ISBLANK(dim_SalesOrderLine[Schedule_Ship_Date])
    )
VAR OnTime =
    CALCULATE([Order Lines], dim_SalesOrderLine[Ship_Delay_Days] &lt;= 0)
RETURN
    DIVIDE(OnTime, Base)</t>
        </is>
      </c>
      <c r="F84" s="13" t="inlineStr">
        <is>
          <t>dim_SalesOrderLine</t>
        </is>
      </c>
      <c r="G84" s="17" t="inlineStr">
        <is>
          <t>Core</t>
        </is>
      </c>
      <c r="H84" s="13" t="inlineStr">
        <is>
          <t>0.0%</t>
        </is>
      </c>
      <c r="I84" s="18" t="inlineStr">
        <is>
          <t>57.1%</t>
        </is>
      </c>
    </row>
    <row r="85" ht="160" customHeight="1">
      <c r="A85" s="19" t="inlineStr">
        <is>
          <t>K-084</t>
        </is>
      </c>
      <c r="B85" s="20" t="inlineStr">
        <is>
          <t>07 Service</t>
        </is>
      </c>
      <c r="C85" s="21" t="inlineStr">
        <is>
          <t>On Time vs Promise %</t>
        </is>
      </c>
      <c r="D85" s="22" t="inlineStr">
        <is>
          <t>The customer-facing view, and the weakest of the three.</t>
        </is>
      </c>
      <c r="E85" s="23" t="inlineStr">
        <is>
          <t>VAR Base =
    CALCULATE(
        [Order Lines],
        NOT ISBLANK(dim_SalesOrderLine[Actual_Shipment_Date]),
        NOT ISBLANK(dim_SalesOrderLine[Promise_Date])
    )
VAR OnTime =
    CALCULATE(
        [Order Lines],
        FILTER(
            dim_SalesOrderLine,
            dim_SalesOrderLine[Actual_Shipment_Date] &lt;= dim_SalesOrderLine[Promise_Date]
        )
    )
RETURN
    DIVIDE(OnTime, Base)</t>
        </is>
      </c>
      <c r="F85" s="20" t="inlineStr">
        <is>
          <t>dim_SalesOrderLine</t>
        </is>
      </c>
      <c r="G85" s="24" t="inlineStr">
        <is>
          <t>Core</t>
        </is>
      </c>
      <c r="H85" s="20" t="inlineStr">
        <is>
          <t>0.0%</t>
        </is>
      </c>
      <c r="I85" s="25" t="inlineStr">
        <is>
          <t>54.0%</t>
        </is>
      </c>
    </row>
    <row r="86" ht="160" customHeight="1">
      <c r="A86" s="12" t="inlineStr">
        <is>
          <t>K-085</t>
        </is>
      </c>
      <c r="B86" s="13" t="inlineStr">
        <is>
          <t>07 Service</t>
        </is>
      </c>
      <c r="C86" s="14" t="inlineStr">
        <is>
          <t>On Time vs Request %</t>
        </is>
      </c>
      <c r="D86" s="15" t="inlineStr"/>
      <c r="E86" s="16" t="inlineStr">
        <is>
          <t>VAR Base =
    CALCULATE(
        [Order Lines],
        NOT ISBLANK(dim_SalesOrderLine[Actual_Shipment_Date]),
        NOT ISBLANK(dim_SalesOrderLine[Request_Date])
    )
VAR OnTime =
    CALCULATE(
        [Order Lines],
        FILTER(
            dim_SalesOrderLine,
            dim_SalesOrderLine[Actual_Shipment_Date] &lt;= dim_SalesOrderLine[Request_Date]
        )
    )
RETURN
    DIVIDE(OnTime, Base)</t>
        </is>
      </c>
      <c r="F86" s="13" t="inlineStr">
        <is>
          <t>dim_SalesOrderLine</t>
        </is>
      </c>
      <c r="G86" s="17" t="inlineStr">
        <is>
          <t>Core</t>
        </is>
      </c>
      <c r="H86" s="13" t="inlineStr">
        <is>
          <t>0.0%</t>
        </is>
      </c>
      <c r="I86" s="18" t="inlineStr">
        <is>
          <t>44.6%</t>
        </is>
      </c>
    </row>
    <row r="87" ht="26" customHeight="1">
      <c r="A87" s="19" t="inlineStr">
        <is>
          <t>K-086</t>
        </is>
      </c>
      <c r="B87" s="20" t="inlineStr">
        <is>
          <t>07 Service</t>
        </is>
      </c>
      <c r="C87" s="21" t="inlineStr">
        <is>
          <t>Lines Shipped Late</t>
        </is>
      </c>
      <c r="D87" s="22" t="inlineStr"/>
      <c r="E87" s="23" t="inlineStr">
        <is>
          <t>CALCULATE([Order Lines], dim_SalesOrderLine[Ship_Delay_Days] &gt; 0)</t>
        </is>
      </c>
      <c r="F87" s="20" t="inlineStr">
        <is>
          <t>dim_SalesOrderLine</t>
        </is>
      </c>
      <c r="G87" s="24" t="inlineStr">
        <is>
          <t>Core</t>
        </is>
      </c>
      <c r="H87" s="20" t="inlineStr">
        <is>
          <t>#,0</t>
        </is>
      </c>
      <c r="I87" s="25" t="inlineStr">
        <is>
          <t>—</t>
        </is>
      </c>
    </row>
    <row r="88" ht="26" customHeight="1">
      <c r="A88" s="12" t="inlineStr">
        <is>
          <t>K-087</t>
        </is>
      </c>
      <c r="B88" s="13" t="inlineStr">
        <is>
          <t>07 Service</t>
        </is>
      </c>
      <c r="C88" s="14" t="inlineStr">
        <is>
          <t>Lines 30d+ Late</t>
        </is>
      </c>
      <c r="D88" s="15" t="inlineStr">
        <is>
          <t>The tail that costs relationships.</t>
        </is>
      </c>
      <c r="E88" s="16" t="inlineStr">
        <is>
          <t>CALCULATE([Order Lines], dim_SalesOrderLine[Ship_Delay_Days] &gt; 30)</t>
        </is>
      </c>
      <c r="F88" s="13" t="inlineStr">
        <is>
          <t>dim_SalesOrderLine</t>
        </is>
      </c>
      <c r="G88" s="17" t="inlineStr">
        <is>
          <t>Core</t>
        </is>
      </c>
      <c r="H88" s="13" t="inlineStr">
        <is>
          <t>#,0</t>
        </is>
      </c>
      <c r="I88" s="18" t="inlineStr">
        <is>
          <t>—</t>
        </is>
      </c>
    </row>
    <row r="89" ht="26" customHeight="1">
      <c r="A89" s="19" t="inlineStr">
        <is>
          <t>K-088</t>
        </is>
      </c>
      <c r="B89" s="20" t="inlineStr">
        <is>
          <t>07 Service</t>
        </is>
      </c>
      <c r="C89" s="21" t="inlineStr">
        <is>
          <t>Avg Ship Delay Days</t>
        </is>
      </c>
      <c r="D89" s="22" t="inlineStr">
        <is>
          <t>Skewed by the tail — read alongside the median.</t>
        </is>
      </c>
      <c r="E89" s="23" t="inlineStr">
        <is>
          <t>AVERAGE(dim_SalesOrderLine[Ship_Delay_Days])</t>
        </is>
      </c>
      <c r="F89" s="20" t="inlineStr">
        <is>
          <t>dim_SalesOrderLine</t>
        </is>
      </c>
      <c r="G89" s="24" t="inlineStr">
        <is>
          <t>Core</t>
        </is>
      </c>
      <c r="H89" s="20" t="inlineStr">
        <is>
          <t>#,0.0</t>
        </is>
      </c>
      <c r="I89" s="25" t="inlineStr">
        <is>
          <t>14.9</t>
        </is>
      </c>
    </row>
    <row r="90" ht="26" customHeight="1">
      <c r="A90" s="12" t="inlineStr">
        <is>
          <t>K-089</t>
        </is>
      </c>
      <c r="B90" s="13" t="inlineStr">
        <is>
          <t>07 Service</t>
        </is>
      </c>
      <c r="C90" s="14" t="inlineStr">
        <is>
          <t>Median Ship Delay Days</t>
        </is>
      </c>
      <c r="D90" s="15" t="inlineStr"/>
      <c r="E90" s="16" t="inlineStr">
        <is>
          <t>MEDIAN(dim_SalesOrderLine[Ship_Delay_Days])</t>
        </is>
      </c>
      <c r="F90" s="13" t="inlineStr">
        <is>
          <t>dim_SalesOrderLine</t>
        </is>
      </c>
      <c r="G90" s="17" t="inlineStr">
        <is>
          <t>Core</t>
        </is>
      </c>
      <c r="H90" s="13" t="inlineStr">
        <is>
          <t>#,0.0</t>
        </is>
      </c>
      <c r="I90" s="18" t="inlineStr">
        <is>
          <t>—</t>
        </is>
      </c>
    </row>
    <row r="91" ht="26" customHeight="1">
      <c r="A91" s="19" t="inlineStr">
        <is>
          <t>K-090</t>
        </is>
      </c>
      <c r="B91" s="20" t="inlineStr">
        <is>
          <t>07 Service</t>
        </is>
      </c>
      <c r="C91" s="21" t="inlineStr">
        <is>
          <t>Median Cycle Days</t>
        </is>
      </c>
      <c r="D91" s="22" t="inlineStr">
        <is>
          <t>Report this, not the mean. The mean is roughly double.</t>
        </is>
      </c>
      <c r="E91" s="23" t="inlineStr">
        <is>
          <t>MEDIAN(dim_SalesOrderLine[Days_Order_To_Ship])</t>
        </is>
      </c>
      <c r="F91" s="20" t="inlineStr">
        <is>
          <t>dim_SalesOrderLine</t>
        </is>
      </c>
      <c r="G91" s="24" t="inlineStr">
        <is>
          <t>Core</t>
        </is>
      </c>
      <c r="H91" s="20" t="inlineStr">
        <is>
          <t>#,0.0</t>
        </is>
      </c>
      <c r="I91" s="25" t="inlineStr">
        <is>
          <t>27.0</t>
        </is>
      </c>
    </row>
    <row r="92" ht="26" customHeight="1">
      <c r="A92" s="12" t="inlineStr">
        <is>
          <t>K-091</t>
        </is>
      </c>
      <c r="B92" s="13" t="inlineStr">
        <is>
          <t>07 Service</t>
        </is>
      </c>
      <c r="C92" s="14" t="inlineStr">
        <is>
          <t>Avg Cycle Days</t>
        </is>
      </c>
      <c r="D92" s="15" t="inlineStr"/>
      <c r="E92" s="16" t="inlineStr">
        <is>
          <t>AVERAGE(dim_SalesOrderLine[Days_Order_To_Ship])</t>
        </is>
      </c>
      <c r="F92" s="13" t="inlineStr">
        <is>
          <t>dim_SalesOrderLine</t>
        </is>
      </c>
      <c r="G92" s="17" t="inlineStr">
        <is>
          <t>Core</t>
        </is>
      </c>
      <c r="H92" s="13" t="inlineStr">
        <is>
          <t>#,0.0</t>
        </is>
      </c>
      <c r="I92" s="18" t="inlineStr">
        <is>
          <t>56.3</t>
        </is>
      </c>
    </row>
    <row r="93" ht="26" customHeight="1">
      <c r="A93" s="19" t="inlineStr">
        <is>
          <t>K-092</t>
        </is>
      </c>
      <c r="B93" s="20" t="inlineStr">
        <is>
          <t>07 Service</t>
        </is>
      </c>
      <c r="C93" s="21" t="inlineStr">
        <is>
          <t>P90 Cycle Days</t>
        </is>
      </c>
      <c r="D93" s="22" t="inlineStr">
        <is>
          <t>The realistic service promise. Set promise dates from this, not the best case.</t>
        </is>
      </c>
      <c r="E93" s="23" t="inlineStr">
        <is>
          <t>PERCENTILE.INC(dim_SalesOrderLine[Days_Order_To_Ship], 0.9)</t>
        </is>
      </c>
      <c r="F93" s="20" t="inlineStr">
        <is>
          <t>dim_SalesOrderLine</t>
        </is>
      </c>
      <c r="G93" s="24" t="inlineStr">
        <is>
          <t>Core</t>
        </is>
      </c>
      <c r="H93" s="20" t="inlineStr">
        <is>
          <t>#,0.0</t>
        </is>
      </c>
      <c r="I93" s="25" t="inlineStr">
        <is>
          <t>66.0</t>
        </is>
      </c>
    </row>
    <row r="94" ht="71" customHeight="1">
      <c r="A94" s="12" t="inlineStr">
        <is>
          <t>K-093</t>
        </is>
      </c>
      <c r="B94" s="13" t="inlineStr">
        <is>
          <t>07 Service</t>
        </is>
      </c>
      <c r="C94" s="14" t="inlineStr">
        <is>
          <t>On Time Delivery %</t>
        </is>
      </c>
      <c r="D94" s="15" t="inlineStr">
        <is>
          <t>Arrivals on or before plan. Computable on 76% of rows.</t>
        </is>
      </c>
      <c r="E94" s="16" t="inlineStr">
        <is>
          <t>VAR Base =
    CALCULATE(COUNTROWS(fact_Shipment), NOT ISBLANK(fact_Shipment[Actual_Arrival]))
VAR OnTime =
    CALCULATE(COUNTROWS(fact_Shipment), fact_Shipment[Delivery_Delay_Days] &lt;= 0)
RETURN
    DIVIDE(OnTime, Base)</t>
        </is>
      </c>
      <c r="F94" s="13" t="inlineStr">
        <is>
          <t>dim_SalesOrderLine</t>
        </is>
      </c>
      <c r="G94" s="17" t="inlineStr">
        <is>
          <t>Core</t>
        </is>
      </c>
      <c r="H94" s="13" t="inlineStr">
        <is>
          <t>0.0%</t>
        </is>
      </c>
      <c r="I94" s="18" t="inlineStr">
        <is>
          <t>68.3%</t>
        </is>
      </c>
    </row>
    <row r="95" ht="26" customHeight="1">
      <c r="A95" s="19" t="inlineStr">
        <is>
          <t>K-094</t>
        </is>
      </c>
      <c r="B95" s="20" t="inlineStr">
        <is>
          <t>07 Service</t>
        </is>
      </c>
      <c r="C95" s="21" t="inlineStr">
        <is>
          <t>Avg Delivery Delay Days</t>
        </is>
      </c>
      <c r="D95" s="22" t="inlineStr"/>
      <c r="E95" s="23" t="inlineStr">
        <is>
          <t>AVERAGE(fact_Shipment[Delivery_Delay_Days])</t>
        </is>
      </c>
      <c r="F95" s="20" t="inlineStr">
        <is>
          <t>dim_SalesOrderLine</t>
        </is>
      </c>
      <c r="G95" s="24" t="inlineStr">
        <is>
          <t>Core</t>
        </is>
      </c>
      <c r="H95" s="20" t="inlineStr">
        <is>
          <t>#,0.0</t>
        </is>
      </c>
      <c r="I95" s="25" t="inlineStr">
        <is>
          <t>—</t>
        </is>
      </c>
    </row>
    <row r="96" ht="113" customHeight="1">
      <c r="A96" s="12" t="inlineStr">
        <is>
          <t>K-095</t>
        </is>
      </c>
      <c r="B96" s="13" t="inlineStr">
        <is>
          <t>07 Service</t>
        </is>
      </c>
      <c r="C96" s="14" t="inlineStr">
        <is>
          <t>In Full Rate %</t>
        </is>
      </c>
      <c r="D96" s="15" t="inlineStr"/>
      <c r="E96" s="16" t="inlineStr">
        <is>
          <t>DIVIDE(
    CALCULATE(
        [Order Lines],
        FILTER(
            fact_SalesOrder,
            fact_SalesOrder[Shipped_MT_Signed] &gt;= fact_SalesOrder[Ordered_MT_Signed]
        )
    ),
    [Order Lines]
)</t>
        </is>
      </c>
      <c r="F96" s="13" t="inlineStr">
        <is>
          <t>dim_SalesOrderLine</t>
        </is>
      </c>
      <c r="G96" s="17" t="inlineStr">
        <is>
          <t>Core</t>
        </is>
      </c>
      <c r="H96" s="13" t="inlineStr">
        <is>
          <t>0.0%</t>
        </is>
      </c>
      <c r="I96" s="18" t="inlineStr">
        <is>
          <t>—</t>
        </is>
      </c>
    </row>
    <row r="97" ht="134" customHeight="1">
      <c r="A97" s="19" t="inlineStr">
        <is>
          <t>K-096</t>
        </is>
      </c>
      <c r="B97" s="20" t="inlineStr">
        <is>
          <t>07 Service</t>
        </is>
      </c>
      <c r="C97" s="21" t="inlineStr">
        <is>
          <t>OTIF %</t>
        </is>
      </c>
      <c r="D97" s="22" t="inlineStr">
        <is>
          <t>Agree the on-time baseline with the business before publishing this.</t>
        </is>
      </c>
      <c r="E97" s="23" t="inlineStr">
        <is>
          <t>VAR Qualified =
    CALCULATE(
        [Order Lines],
        FILTER(
            dim_SalesOrderLine,
            dim_SalesOrderLine[Ship_Delay_Days] &lt;= 0
                &amp;&amp; RELATED(fact_SalesOrder[Shipped_MT_Signed])
                    &gt;= RELATED(fact_SalesOrder[Ordered_MT_Signed])
        )
    )
RETURN
    DIVIDE(Qualified, [Order Lines])</t>
        </is>
      </c>
      <c r="F97" s="20" t="inlineStr">
        <is>
          <t>dim_SalesOrderLine</t>
        </is>
      </c>
      <c r="G97" s="24" t="inlineStr">
        <is>
          <t>Core</t>
        </is>
      </c>
      <c r="H97" s="20" t="inlineStr">
        <is>
          <t>0.0%</t>
        </is>
      </c>
      <c r="I97" s="25" t="inlineStr">
        <is>
          <t>—</t>
        </is>
      </c>
    </row>
    <row r="98" ht="26" customHeight="1">
      <c r="A98" s="12" t="inlineStr">
        <is>
          <t>K-097</t>
        </is>
      </c>
      <c r="B98" s="13" t="inlineStr">
        <is>
          <t>08 Logistics</t>
        </is>
      </c>
      <c r="C98" s="14" t="inlineStr">
        <is>
          <t>Avg MT per Delivery</t>
        </is>
      </c>
      <c r="D98" s="15" t="inlineStr"/>
      <c r="E98" s="16" t="inlineStr">
        <is>
          <t>DIVIDE([Shipped MT], [Deliveries])</t>
        </is>
      </c>
      <c r="F98" s="13" t="inlineStr">
        <is>
          <t>fact_Shipment</t>
        </is>
      </c>
      <c r="G98" s="26" t="inlineStr">
        <is>
          <t>Standard</t>
        </is>
      </c>
      <c r="H98" s="13" t="inlineStr">
        <is>
          <t>#,0.0</t>
        </is>
      </c>
      <c r="I98" s="18" t="inlineStr">
        <is>
          <t>353.6</t>
        </is>
      </c>
    </row>
    <row r="99" ht="26" customHeight="1">
      <c r="A99" s="19" t="inlineStr">
        <is>
          <t>K-098</t>
        </is>
      </c>
      <c r="B99" s="20" t="inlineStr">
        <is>
          <t>08 Logistics</t>
        </is>
      </c>
      <c r="C99" s="21" t="inlineStr">
        <is>
          <t>Avg MT per Trip</t>
        </is>
      </c>
      <c r="D99" s="22" t="inlineStr"/>
      <c r="E99" s="23" t="inlineStr">
        <is>
          <t>DIVIDE([Shipped MT], [Trips])</t>
        </is>
      </c>
      <c r="F99" s="20" t="inlineStr">
        <is>
          <t>fact_Shipment</t>
        </is>
      </c>
      <c r="G99" s="27" t="inlineStr">
        <is>
          <t>Standard</t>
        </is>
      </c>
      <c r="H99" s="20" t="inlineStr">
        <is>
          <t>#,0.0</t>
        </is>
      </c>
      <c r="I99" s="25" t="inlineStr">
        <is>
          <t>—</t>
        </is>
      </c>
    </row>
    <row r="100" ht="26" customHeight="1">
      <c r="A100" s="12" t="inlineStr">
        <is>
          <t>K-099</t>
        </is>
      </c>
      <c r="B100" s="13" t="inlineStr">
        <is>
          <t>08 Logistics</t>
        </is>
      </c>
      <c r="C100" s="14" t="inlineStr">
        <is>
          <t>Deliveries per Trip</t>
        </is>
      </c>
      <c r="D100" s="15" t="inlineStr">
        <is>
          <t>Consolidation efficiency.</t>
        </is>
      </c>
      <c r="E100" s="16" t="inlineStr">
        <is>
          <t>DIVIDE([Deliveries], [Trips])</t>
        </is>
      </c>
      <c r="F100" s="13" t="inlineStr">
        <is>
          <t>fact_Shipment</t>
        </is>
      </c>
      <c r="G100" s="26" t="inlineStr">
        <is>
          <t>Standard</t>
        </is>
      </c>
      <c r="H100" s="13" t="inlineStr">
        <is>
          <t>#,0.00</t>
        </is>
      </c>
      <c r="I100" s="18" t="inlineStr">
        <is>
          <t>1.20</t>
        </is>
      </c>
    </row>
    <row r="101" ht="26" customHeight="1">
      <c r="A101" s="19" t="inlineStr">
        <is>
          <t>K-100</t>
        </is>
      </c>
      <c r="B101" s="20" t="inlineStr">
        <is>
          <t>08 Logistics</t>
        </is>
      </c>
      <c r="C101" s="21" t="inlineStr">
        <is>
          <t>Active Carriers</t>
        </is>
      </c>
      <c r="D101" s="22" t="inlineStr"/>
      <c r="E101" s="23" t="inlineStr">
        <is>
          <t>CALCULATE(DISTINCTCOUNT(fact_Shipment[CarrierKey]), fact_Shipment[CarrierKey] &lt;&gt; "-1")</t>
        </is>
      </c>
      <c r="F101" s="20" t="inlineStr">
        <is>
          <t>fact_Shipment</t>
        </is>
      </c>
      <c r="G101" s="27" t="inlineStr">
        <is>
          <t>Standard</t>
        </is>
      </c>
      <c r="H101" s="20" t="inlineStr">
        <is>
          <t>#,0</t>
        </is>
      </c>
      <c r="I101" s="25" t="inlineStr">
        <is>
          <t>173</t>
        </is>
      </c>
    </row>
    <row r="102" ht="26" customHeight="1">
      <c r="A102" s="12" t="inlineStr">
        <is>
          <t>K-101</t>
        </is>
      </c>
      <c r="B102" s="13" t="inlineStr">
        <is>
          <t>08 Logistics</t>
        </is>
      </c>
      <c r="C102" s="14" t="inlineStr">
        <is>
          <t>Requested MT</t>
        </is>
      </c>
      <c r="D102" s="15" t="inlineStr"/>
      <c r="E102" s="16" t="inlineStr">
        <is>
          <t>SUM(fact_Shipment[Requested_MT])</t>
        </is>
      </c>
      <c r="F102" s="13" t="inlineStr">
        <is>
          <t>fact_Shipment</t>
        </is>
      </c>
      <c r="G102" s="26" t="inlineStr">
        <is>
          <t>Standard</t>
        </is>
      </c>
      <c r="H102" s="13" t="inlineStr">
        <is>
          <t>#,0</t>
        </is>
      </c>
      <c r="I102" s="18" t="inlineStr">
        <is>
          <t>21,464,645</t>
        </is>
      </c>
    </row>
    <row r="103" ht="26" customHeight="1">
      <c r="A103" s="19" t="inlineStr">
        <is>
          <t>K-102</t>
        </is>
      </c>
      <c r="B103" s="20" t="inlineStr">
        <is>
          <t>08 Logistics</t>
        </is>
      </c>
      <c r="C103" s="21" t="inlineStr">
        <is>
          <t>Picked MT</t>
        </is>
      </c>
      <c r="D103" s="22" t="inlineStr"/>
      <c r="E103" s="23" t="inlineStr">
        <is>
          <t>SUM(fact_Shipment[Picked_MT])</t>
        </is>
      </c>
      <c r="F103" s="20" t="inlineStr">
        <is>
          <t>fact_Shipment</t>
        </is>
      </c>
      <c r="G103" s="27" t="inlineStr">
        <is>
          <t>Standard</t>
        </is>
      </c>
      <c r="H103" s="20" t="inlineStr">
        <is>
          <t>#,0</t>
        </is>
      </c>
      <c r="I103" s="25" t="inlineStr">
        <is>
          <t>21,207,780</t>
        </is>
      </c>
    </row>
    <row r="104" ht="26" customHeight="1">
      <c r="A104" s="12" t="inlineStr">
        <is>
          <t>K-103</t>
        </is>
      </c>
      <c r="B104" s="13" t="inlineStr">
        <is>
          <t>08 Logistics</t>
        </is>
      </c>
      <c r="C104" s="14" t="inlineStr">
        <is>
          <t>Cancelled MT Logistics</t>
        </is>
      </c>
      <c r="D104" s="15" t="inlineStr">
        <is>
          <t>Cancellation after picking began — distinct from an order-level cancellation.</t>
        </is>
      </c>
      <c r="E104" s="16" t="inlineStr">
        <is>
          <t>SUM(fact_Shipment[Cancelled_MT])</t>
        </is>
      </c>
      <c r="F104" s="13" t="inlineStr">
        <is>
          <t>fact_Shipment</t>
        </is>
      </c>
      <c r="G104" s="26" t="inlineStr">
        <is>
          <t>Standard</t>
        </is>
      </c>
      <c r="H104" s="13" t="inlineStr">
        <is>
          <t>#,0</t>
        </is>
      </c>
      <c r="I104" s="18" t="inlineStr">
        <is>
          <t>451,304</t>
        </is>
      </c>
    </row>
    <row r="105" ht="26" customHeight="1">
      <c r="A105" s="19" t="inlineStr">
        <is>
          <t>K-104</t>
        </is>
      </c>
      <c r="B105" s="20" t="inlineStr">
        <is>
          <t>08 Logistics</t>
        </is>
      </c>
      <c r="C105" s="21" t="inlineStr">
        <is>
          <t>Pick Completion %</t>
        </is>
      </c>
      <c r="D105" s="22" t="inlineStr"/>
      <c r="E105" s="23" t="inlineStr">
        <is>
          <t>DIVIDE([Picked MT], [Requested MT])</t>
        </is>
      </c>
      <c r="F105" s="20" t="inlineStr">
        <is>
          <t>fact_Shipment</t>
        </is>
      </c>
      <c r="G105" s="27" t="inlineStr">
        <is>
          <t>Standard</t>
        </is>
      </c>
      <c r="H105" s="20" t="inlineStr">
        <is>
          <t>0.0%</t>
        </is>
      </c>
      <c r="I105" s="25" t="inlineStr">
        <is>
          <t>98.8%</t>
        </is>
      </c>
    </row>
    <row r="106" ht="26" customHeight="1">
      <c r="A106" s="12" t="inlineStr">
        <is>
          <t>K-105</t>
        </is>
      </c>
      <c r="B106" s="13" t="inlineStr">
        <is>
          <t>08 Logistics</t>
        </is>
      </c>
      <c r="C106" s="14" t="inlineStr">
        <is>
          <t>Ship Completion %</t>
        </is>
      </c>
      <c r="D106" s="15" t="inlineStr"/>
      <c r="E106" s="16" t="inlineStr">
        <is>
          <t>DIVIDE([Shipped MT], [Picked MT])</t>
        </is>
      </c>
      <c r="F106" s="13" t="inlineStr">
        <is>
          <t>fact_Shipment</t>
        </is>
      </c>
      <c r="G106" s="26" t="inlineStr">
        <is>
          <t>Standard</t>
        </is>
      </c>
      <c r="H106" s="13" t="inlineStr">
        <is>
          <t>0.0%</t>
        </is>
      </c>
      <c r="I106" s="18" t="inlineStr">
        <is>
          <t>—</t>
        </is>
      </c>
    </row>
    <row r="107" ht="50" customHeight="1">
      <c r="A107" s="19" t="inlineStr">
        <is>
          <t>K-106</t>
        </is>
      </c>
      <c r="B107" s="20" t="inlineStr">
        <is>
          <t>08 Logistics</t>
        </is>
      </c>
      <c r="C107" s="21" t="inlineStr">
        <is>
          <t>Packaging Overhead %</t>
        </is>
      </c>
      <c r="D107" s="22" t="inlineStr">
        <is>
          <t>Freight paid on non-product weight.</t>
        </is>
      </c>
      <c r="E107" s="23" t="inlineStr">
        <is>
          <t>DIVIDE(
    SUM(fact_Shipment[Gross_Weight_MT]) - SUM(fact_Shipment[Net_Weight_MT]),
    SUM(fact_Shipment[Net_Weight_MT])
)</t>
        </is>
      </c>
      <c r="F107" s="20" t="inlineStr">
        <is>
          <t>fact_Shipment</t>
        </is>
      </c>
      <c r="G107" s="27" t="inlineStr">
        <is>
          <t>Standard</t>
        </is>
      </c>
      <c r="H107" s="20" t="inlineStr">
        <is>
          <t>0.0%</t>
        </is>
      </c>
      <c r="I107" s="25" t="inlineStr">
        <is>
          <t>3.27%</t>
        </is>
      </c>
    </row>
    <row r="108" ht="50" customHeight="1">
      <c r="A108" s="12" t="inlineStr">
        <is>
          <t>K-107</t>
        </is>
      </c>
      <c r="B108" s="13" t="inlineStr">
        <is>
          <t>08 Logistics</t>
        </is>
      </c>
      <c r="C108" s="14" t="inlineStr">
        <is>
          <t>Export Share %</t>
        </is>
      </c>
      <c r="D108" s="15" t="inlineStr"/>
      <c r="E108" s="16" t="inlineStr">
        <is>
          <t>DIVIDE(
    CALCULATE(COUNTROWS(fact_Shipment), fact_Shipment[Is_Export] = TRUE()),
    COUNTROWS(fact_Shipment)
)</t>
        </is>
      </c>
      <c r="F108" s="13" t="inlineStr">
        <is>
          <t>fact_Shipment</t>
        </is>
      </c>
      <c r="G108" s="26" t="inlineStr">
        <is>
          <t>Standard</t>
        </is>
      </c>
      <c r="H108" s="13" t="inlineStr">
        <is>
          <t>0.0%</t>
        </is>
      </c>
      <c r="I108" s="18" t="inlineStr">
        <is>
          <t>56.4%</t>
        </is>
      </c>
    </row>
    <row r="109" ht="26" customHeight="1">
      <c r="A109" s="19" t="inlineStr">
        <is>
          <t>K-108</t>
        </is>
      </c>
      <c r="B109" s="20" t="inlineStr">
        <is>
          <t>08 Logistics</t>
        </is>
      </c>
      <c r="C109" s="21" t="inlineStr">
        <is>
          <t>Countries Served</t>
        </is>
      </c>
      <c r="D109" s="22" t="inlineStr"/>
      <c r="E109" s="23" t="inlineStr">
        <is>
          <t>DISTINCTCOUNT(fact_Shipment[Ship_To_Country])</t>
        </is>
      </c>
      <c r="F109" s="20" t="inlineStr">
        <is>
          <t>fact_Shipment</t>
        </is>
      </c>
      <c r="G109" s="27" t="inlineStr">
        <is>
          <t>Standard</t>
        </is>
      </c>
      <c r="H109" s="20" t="inlineStr">
        <is>
          <t>#,0</t>
        </is>
      </c>
      <c r="I109" s="25" t="inlineStr">
        <is>
          <t>82</t>
        </is>
      </c>
    </row>
    <row r="110" ht="26" customHeight="1">
      <c r="A110" s="12" t="inlineStr">
        <is>
          <t>K-109</t>
        </is>
      </c>
      <c r="B110" s="13" t="inlineStr">
        <is>
          <t>08 Logistics</t>
        </is>
      </c>
      <c r="C110" s="14" t="inlineStr">
        <is>
          <t>Carrier Volume Share %</t>
        </is>
      </c>
      <c r="D110" s="15" t="inlineStr"/>
      <c r="E110" s="16" t="inlineStr">
        <is>
          <t>DIVIDE([Shipped MT], CALCULATE([Shipped MT], ALL(dim_Carrier)))</t>
        </is>
      </c>
      <c r="F110" s="13" t="inlineStr">
        <is>
          <t>fact_Shipment</t>
        </is>
      </c>
      <c r="G110" s="26" t="inlineStr">
        <is>
          <t>Standard</t>
        </is>
      </c>
      <c r="H110" s="13" t="inlineStr">
        <is>
          <t>0.0%</t>
        </is>
      </c>
      <c r="I110" s="18" t="inlineStr">
        <is>
          <t>—</t>
        </is>
      </c>
    </row>
    <row r="111" ht="50" customHeight="1">
      <c r="A111" s="19" t="inlineStr">
        <is>
          <t>K-110</t>
        </is>
      </c>
      <c r="B111" s="20" t="inlineStr">
        <is>
          <t>08 Logistics</t>
        </is>
      </c>
      <c r="C111" s="21" t="inlineStr">
        <is>
          <t>Missing Carrier %</t>
        </is>
      </c>
      <c r="D111" s="22" t="inlineStr">
        <is>
          <t>Blind spot in the carrier scorecard.</t>
        </is>
      </c>
      <c r="E111" s="23" t="inlineStr">
        <is>
          <t>DIVIDE(
    CALCULATE(COUNTROWS(fact_Shipment), fact_Shipment[CarrierKey] = "-1"),
    COUNTROWS(fact_Shipment)
)</t>
        </is>
      </c>
      <c r="F111" s="20" t="inlineStr">
        <is>
          <t>fact_Shipment</t>
        </is>
      </c>
      <c r="G111" s="27" t="inlineStr">
        <is>
          <t>Standard</t>
        </is>
      </c>
      <c r="H111" s="20" t="inlineStr">
        <is>
          <t>0.0%</t>
        </is>
      </c>
      <c r="I111" s="25" t="inlineStr">
        <is>
          <t>23.5%</t>
        </is>
      </c>
    </row>
    <row r="112" ht="123.5" customHeight="1">
      <c r="A112" s="12" t="inlineStr">
        <is>
          <t>K-111</t>
        </is>
      </c>
      <c r="B112" s="13" t="inlineStr">
        <is>
          <t>08 Logistics</t>
        </is>
      </c>
      <c r="C112" s="14" t="inlineStr">
        <is>
          <t>Tolerance Breach %</t>
        </is>
      </c>
      <c r="D112" s="15" t="inlineStr">
        <is>
          <t>Tolerance columns are ~100% populated, so this is reliable.</t>
        </is>
      </c>
      <c r="E112" s="16" t="inlineStr">
        <is>
          <t>DIVIDE(
    CALCULATE(
        COUNTROWS(fact_Shipment),
        FILTER(
            fact_Shipment,
            fact_Shipment[Shipped_MT] &gt;
                fact_Shipment[Requested_MT] * (1 + fact_Shipment[Tolerance_Above_Pct] / 100)
        )
    ),
    COUNTROWS(fact_Shipment)
)</t>
        </is>
      </c>
      <c r="F112" s="13" t="inlineStr">
        <is>
          <t>fact_Shipment</t>
        </is>
      </c>
      <c r="G112" s="26" t="inlineStr">
        <is>
          <t>Standard</t>
        </is>
      </c>
      <c r="H112" s="13" t="inlineStr">
        <is>
          <t>0.00%</t>
        </is>
      </c>
      <c r="I112" s="18" t="inlineStr">
        <is>
          <t>0.53%</t>
        </is>
      </c>
    </row>
    <row r="113" ht="26" customHeight="1">
      <c r="A113" s="19" t="inlineStr">
        <is>
          <t>K-112</t>
        </is>
      </c>
      <c r="B113" s="20" t="inlineStr">
        <is>
          <t>09 Returns &amp; Credits</t>
        </is>
      </c>
      <c r="C113" s="21" t="inlineStr">
        <is>
          <t>Return Lines</t>
        </is>
      </c>
      <c r="D113" s="22" t="inlineStr"/>
      <c r="E113" s="23" t="inlineStr">
        <is>
          <t>CALCULATE([Order Lines], dim_SalesOrderLine[Is_Return] = TRUE())</t>
        </is>
      </c>
      <c r="F113" s="20" t="inlineStr">
        <is>
          <t>dim_SalesOrderLine</t>
        </is>
      </c>
      <c r="G113" s="24" t="inlineStr">
        <is>
          <t>Core</t>
        </is>
      </c>
      <c r="H113" s="20" t="inlineStr">
        <is>
          <t>#,0</t>
        </is>
      </c>
      <c r="I113" s="25" t="inlineStr">
        <is>
          <t>576</t>
        </is>
      </c>
    </row>
    <row r="114" ht="26" customHeight="1">
      <c r="A114" s="12" t="inlineStr">
        <is>
          <t>K-113</t>
        </is>
      </c>
      <c r="B114" s="13" t="inlineStr">
        <is>
          <t>09 Returns &amp; Credits</t>
        </is>
      </c>
      <c r="C114" s="14" t="inlineStr">
        <is>
          <t>Return Rate %</t>
        </is>
      </c>
      <c r="D114" s="15" t="inlineStr">
        <is>
          <t>Label this Credit Note Rate externally. Most returns are billing corrections, not goods coming back.</t>
        </is>
      </c>
      <c r="E114" s="16" t="inlineStr">
        <is>
          <t>DIVIDE([Return Lines], [Order Lines])</t>
        </is>
      </c>
      <c r="F114" s="13" t="inlineStr">
        <is>
          <t>dim_SalesOrderLine</t>
        </is>
      </c>
      <c r="G114" s="17" t="inlineStr">
        <is>
          <t>Core</t>
        </is>
      </c>
      <c r="H114" s="13" t="inlineStr">
        <is>
          <t>0.00%</t>
        </is>
      </c>
      <c r="I114" s="18" t="inlineStr">
        <is>
          <t>0.84%</t>
        </is>
      </c>
    </row>
    <row r="115" ht="26" customHeight="1">
      <c r="A115" s="19" t="inlineStr">
        <is>
          <t>K-114</t>
        </is>
      </c>
      <c r="B115" s="20" t="inlineStr">
        <is>
          <t>09 Returns &amp; Credits</t>
        </is>
      </c>
      <c r="C115" s="21" t="inlineStr">
        <is>
          <t>Returned MT</t>
        </is>
      </c>
      <c r="D115" s="22" t="inlineStr"/>
      <c r="E115" s="23" t="inlineStr">
        <is>
          <t>ABS(CALCULATE([Ordered MT], dim_SalesOrderLine[Is_Return] = TRUE()))</t>
        </is>
      </c>
      <c r="F115" s="20" t="inlineStr">
        <is>
          <t>dim_SalesOrderLine</t>
        </is>
      </c>
      <c r="G115" s="24" t="inlineStr">
        <is>
          <t>Core</t>
        </is>
      </c>
      <c r="H115" s="20" t="inlineStr">
        <is>
          <t>#,0</t>
        </is>
      </c>
      <c r="I115" s="25" t="inlineStr">
        <is>
          <t>~500,000</t>
        </is>
      </c>
    </row>
    <row r="116" ht="50" customHeight="1">
      <c r="A116" s="12" t="inlineStr">
        <is>
          <t>K-115</t>
        </is>
      </c>
      <c r="B116" s="13" t="inlineStr">
        <is>
          <t>09 Returns &amp; Credits</t>
        </is>
      </c>
      <c r="C116" s="14" t="inlineStr">
        <is>
          <t>Return Rate Volume %</t>
        </is>
      </c>
      <c r="D116" s="15" t="inlineStr"/>
      <c r="E116" s="16" t="inlineStr">
        <is>
          <t>DIVIDE(
    [Returned MT],
    CALCULATE([Ordered MT], dim_SalesOrderLine[Is_Return] = FALSE())
)</t>
        </is>
      </c>
      <c r="F116" s="13" t="inlineStr">
        <is>
          <t>dim_SalesOrderLine</t>
        </is>
      </c>
      <c r="G116" s="17" t="inlineStr">
        <is>
          <t>Core</t>
        </is>
      </c>
      <c r="H116" s="13" t="inlineStr">
        <is>
          <t>0.00%</t>
        </is>
      </c>
      <c r="I116" s="18" t="inlineStr">
        <is>
          <t>~2.0%</t>
        </is>
      </c>
    </row>
    <row r="117" ht="26" customHeight="1">
      <c r="A117" s="19" t="inlineStr">
        <is>
          <t>K-116</t>
        </is>
      </c>
      <c r="B117" s="20" t="inlineStr">
        <is>
          <t>09 Returns &amp; Credits</t>
        </is>
      </c>
      <c r="C117" s="21" t="inlineStr">
        <is>
          <t>Physical Return Lines</t>
        </is>
      </c>
      <c r="D117" s="22" t="inlineStr">
        <is>
          <t>Genuinely rejected inventory. 38 of 608 returns.</t>
        </is>
      </c>
      <c r="E117" s="23" t="inlineStr">
        <is>
          <t>CALCULATE([Order Lines], dim_ReturnReason[Is_Physical_Return] = TRUE())</t>
        </is>
      </c>
      <c r="F117" s="20" t="inlineStr">
        <is>
          <t>dim_SalesOrderLine</t>
        </is>
      </c>
      <c r="G117" s="24" t="inlineStr">
        <is>
          <t>Core</t>
        </is>
      </c>
      <c r="H117" s="20" t="inlineStr">
        <is>
          <t>#,0</t>
        </is>
      </c>
      <c r="I117" s="25" t="inlineStr">
        <is>
          <t>36</t>
        </is>
      </c>
    </row>
    <row r="118" ht="26" customHeight="1">
      <c r="A118" s="12" t="inlineStr">
        <is>
          <t>K-117</t>
        </is>
      </c>
      <c r="B118" s="13" t="inlineStr">
        <is>
          <t>09 Returns &amp; Credits</t>
        </is>
      </c>
      <c r="C118" s="14" t="inlineStr">
        <is>
          <t>Physical Return Rate %</t>
        </is>
      </c>
      <c r="D118" s="15" t="inlineStr">
        <is>
          <t>The true product-quality metric.</t>
        </is>
      </c>
      <c r="E118" s="16" t="inlineStr">
        <is>
          <t>DIVIDE([Physical Return Lines], [Order Lines])</t>
        </is>
      </c>
      <c r="F118" s="13" t="inlineStr">
        <is>
          <t>dim_SalesOrderLine</t>
        </is>
      </c>
      <c r="G118" s="17" t="inlineStr">
        <is>
          <t>Core</t>
        </is>
      </c>
      <c r="H118" s="13" t="inlineStr">
        <is>
          <t>0.00%</t>
        </is>
      </c>
      <c r="I118" s="18" t="inlineStr">
        <is>
          <t>0.05%</t>
        </is>
      </c>
    </row>
    <row r="119" ht="26" customHeight="1">
      <c r="A119" s="19" t="inlineStr">
        <is>
          <t>K-118</t>
        </is>
      </c>
      <c r="B119" s="20" t="inlineStr">
        <is>
          <t>09 Returns &amp; Credits</t>
        </is>
      </c>
      <c r="C119" s="21" t="inlineStr">
        <is>
          <t>Commercial Adjustment Lines</t>
        </is>
      </c>
      <c r="D119" s="22" t="inlineStr"/>
      <c r="E119" s="23" t="inlineStr">
        <is>
          <t>CALCULATE([Return Lines], dim_ReturnReason[Reason_Group] = "Commercial adjustment")</t>
        </is>
      </c>
      <c r="F119" s="20" t="inlineStr">
        <is>
          <t>dim_SalesOrderLine</t>
        </is>
      </c>
      <c r="G119" s="24" t="inlineStr">
        <is>
          <t>Core</t>
        </is>
      </c>
      <c r="H119" s="20" t="inlineStr">
        <is>
          <t>#,0</t>
        </is>
      </c>
      <c r="I119" s="25" t="inlineStr">
        <is>
          <t>~170</t>
        </is>
      </c>
    </row>
    <row r="120" ht="26" customHeight="1">
      <c r="A120" s="12" t="inlineStr">
        <is>
          <t>K-119</t>
        </is>
      </c>
      <c r="B120" s="13" t="inlineStr">
        <is>
          <t>09 Returns &amp; Credits</t>
        </is>
      </c>
      <c r="C120" s="14" t="inlineStr">
        <is>
          <t>Commercial Adjustment Share %</t>
        </is>
      </c>
      <c r="D120" s="15" t="inlineStr">
        <is>
          <t>High share means pricing accuracy, not quality, is the problem.</t>
        </is>
      </c>
      <c r="E120" s="16" t="inlineStr">
        <is>
          <t>DIVIDE([Commercial Adjustment Lines], [Return Lines])</t>
        </is>
      </c>
      <c r="F120" s="13" t="inlineStr">
        <is>
          <t>dim_SalesOrderLine</t>
        </is>
      </c>
      <c r="G120" s="17" t="inlineStr">
        <is>
          <t>Core</t>
        </is>
      </c>
      <c r="H120" s="13" t="inlineStr">
        <is>
          <t>0.0%</t>
        </is>
      </c>
      <c r="I120" s="18" t="inlineStr">
        <is>
          <t>29.8%</t>
        </is>
      </c>
    </row>
    <row r="121" ht="26" customHeight="1">
      <c r="A121" s="19" t="inlineStr">
        <is>
          <t>K-120</t>
        </is>
      </c>
      <c r="B121" s="20" t="inlineStr">
        <is>
          <t>10 Customer &amp; Product</t>
        </is>
      </c>
      <c r="C121" s="21" t="inlineStr">
        <is>
          <t>Active Customers</t>
        </is>
      </c>
      <c r="D121" s="22" t="inlineStr"/>
      <c r="E121" s="23" t="inlineStr">
        <is>
          <t>CALCULATE(DISTINCTCOUNT(dim_SalesOrderLine[CustomerKey]), [Net Revenue USD] &lt;&gt; 0)</t>
        </is>
      </c>
      <c r="F121" s="20" t="inlineStr">
        <is>
          <t>multiple</t>
        </is>
      </c>
      <c r="G121" s="27" t="inlineStr">
        <is>
          <t>Standard</t>
        </is>
      </c>
      <c r="H121" s="20" t="inlineStr">
        <is>
          <t>#,0</t>
        </is>
      </c>
      <c r="I121" s="25" t="inlineStr">
        <is>
          <t>722</t>
        </is>
      </c>
    </row>
    <row r="122" ht="26" customHeight="1">
      <c r="A122" s="12" t="inlineStr">
        <is>
          <t>K-121</t>
        </is>
      </c>
      <c r="B122" s="13" t="inlineStr">
        <is>
          <t>10 Customer &amp; Product</t>
        </is>
      </c>
      <c r="C122" s="14" t="inlineStr">
        <is>
          <t>Revenue per Customer</t>
        </is>
      </c>
      <c r="D122" s="15" t="inlineStr"/>
      <c r="E122" s="16" t="inlineStr">
        <is>
          <t>DIVIDE([Net Revenue USD], [Active Customers])</t>
        </is>
      </c>
      <c r="F122" s="13" t="inlineStr">
        <is>
          <t>multiple</t>
        </is>
      </c>
      <c r="G122" s="26" t="inlineStr">
        <is>
          <t>Standard</t>
        </is>
      </c>
      <c r="H122" s="13" t="inlineStr">
        <is>
          <t>\$#,0</t>
        </is>
      </c>
      <c r="I122" s="18" t="inlineStr">
        <is>
          <t>$20.6m</t>
        </is>
      </c>
    </row>
    <row r="123" ht="26" customHeight="1">
      <c r="A123" s="19" t="inlineStr">
        <is>
          <t>K-122</t>
        </is>
      </c>
      <c r="B123" s="20" t="inlineStr">
        <is>
          <t>10 Customer &amp; Product</t>
        </is>
      </c>
      <c r="C123" s="21" t="inlineStr">
        <is>
          <t>Active Products</t>
        </is>
      </c>
      <c r="D123" s="22" t="inlineStr"/>
      <c r="E123" s="23" t="inlineStr">
        <is>
          <t>DISTINCTCOUNT(dim_SalesOrderLine[ProductKey])</t>
        </is>
      </c>
      <c r="F123" s="20" t="inlineStr">
        <is>
          <t>multiple</t>
        </is>
      </c>
      <c r="G123" s="27" t="inlineStr">
        <is>
          <t>Standard</t>
        </is>
      </c>
      <c r="H123" s="20" t="inlineStr">
        <is>
          <t>#,0</t>
        </is>
      </c>
      <c r="I123" s="25" t="inlineStr">
        <is>
          <t>1,726</t>
        </is>
      </c>
    </row>
    <row r="124" ht="26" customHeight="1">
      <c r="A124" s="12" t="inlineStr">
        <is>
          <t>K-123</t>
        </is>
      </c>
      <c r="B124" s="13" t="inlineStr">
        <is>
          <t>10 Customer &amp; Product</t>
        </is>
      </c>
      <c r="C124" s="14" t="inlineStr">
        <is>
          <t>Customer Revenue Rank</t>
        </is>
      </c>
      <c r="D124" s="15" t="inlineStr"/>
      <c r="E124" s="16" t="inlineStr">
        <is>
          <t>RANKX(ALL(dim_Customer[CustomerKey]), [Net Revenue USD], , DESC, DENSE)</t>
        </is>
      </c>
      <c r="F124" s="13" t="inlineStr">
        <is>
          <t>multiple</t>
        </is>
      </c>
      <c r="G124" s="26" t="inlineStr">
        <is>
          <t>Standard</t>
        </is>
      </c>
      <c r="H124" s="13" t="inlineStr">
        <is>
          <t>#,0</t>
        </is>
      </c>
      <c r="I124" s="18" t="inlineStr">
        <is>
          <t>—</t>
        </is>
      </c>
    </row>
    <row r="125" ht="71" customHeight="1">
      <c r="A125" s="19" t="inlineStr">
        <is>
          <t>K-124</t>
        </is>
      </c>
      <c r="B125" s="20" t="inlineStr">
        <is>
          <t>10 Customer &amp; Product</t>
        </is>
      </c>
      <c r="C125" s="21" t="inlineStr">
        <is>
          <t>Top 10 Customer Share %</t>
        </is>
      </c>
      <c r="D125" s="22" t="inlineStr"/>
      <c r="E125" s="23" t="inlineStr">
        <is>
          <t>VAR T = TOPN(10, ALL(dim_Customer[CustomerKey]), [Net Revenue USD], DESC)
RETURN
    DIVIDE(
        CALCULATE([Net Revenue USD], T),
        CALCULATE([Net Revenue USD], ALL(dim_Customer))
    )</t>
        </is>
      </c>
      <c r="F125" s="20" t="inlineStr">
        <is>
          <t>multiple</t>
        </is>
      </c>
      <c r="G125" s="27" t="inlineStr">
        <is>
          <t>Standard</t>
        </is>
      </c>
      <c r="H125" s="20" t="inlineStr">
        <is>
          <t>0.0%</t>
        </is>
      </c>
      <c r="I125" s="25" t="inlineStr">
        <is>
          <t>41.4%</t>
        </is>
      </c>
    </row>
    <row r="126" ht="71" customHeight="1">
      <c r="A126" s="12" t="inlineStr">
        <is>
          <t>K-125</t>
        </is>
      </c>
      <c r="B126" s="13" t="inlineStr">
        <is>
          <t>10 Customer &amp; Product</t>
        </is>
      </c>
      <c r="C126" s="14" t="inlineStr">
        <is>
          <t>Top 20 Customer Share %</t>
        </is>
      </c>
      <c r="D126" s="15" t="inlineStr"/>
      <c r="E126" s="16" t="inlineStr">
        <is>
          <t>VAR T = TOPN(20, ALL(dim_Customer[CustomerKey]), [Net Revenue USD], DESC)
RETURN
    DIVIDE(
        CALCULATE([Net Revenue USD], T),
        CALCULATE([Net Revenue USD], ALL(dim_Customer))
    )</t>
        </is>
      </c>
      <c r="F126" s="13" t="inlineStr">
        <is>
          <t>multiple</t>
        </is>
      </c>
      <c r="G126" s="26" t="inlineStr">
        <is>
          <t>Standard</t>
        </is>
      </c>
      <c r="H126" s="13" t="inlineStr">
        <is>
          <t>0.0%</t>
        </is>
      </c>
      <c r="I126" s="18" t="inlineStr">
        <is>
          <t>51.5%</t>
        </is>
      </c>
    </row>
    <row r="127" ht="81.5" customHeight="1">
      <c r="A127" s="19" t="inlineStr">
        <is>
          <t>K-126</t>
        </is>
      </c>
      <c r="B127" s="20" t="inlineStr">
        <is>
          <t>10 Customer &amp; Product</t>
        </is>
      </c>
      <c r="C127" s="21" t="inlineStr">
        <is>
          <t>Customer HHI</t>
        </is>
      </c>
      <c r="D127" s="22" t="inlineStr">
        <is>
          <t>Herfindahl index. Below 1,500 is unconcentrated.</t>
        </is>
      </c>
      <c r="E127" s="23" t="inlineStr">
        <is>
          <t>SUMX(
    VALUES(dim_Customer[CustomerKey]),
    POWER(
        DIVIDE([Net Revenue USD], CALCULATE([Net Revenue USD], ALL(dim_Customer))) * 100,
        2
    )
)</t>
        </is>
      </c>
      <c r="F127" s="20" t="inlineStr">
        <is>
          <t>multiple</t>
        </is>
      </c>
      <c r="G127" s="27" t="inlineStr">
        <is>
          <t>Standard</t>
        </is>
      </c>
      <c r="H127" s="20" t="inlineStr">
        <is>
          <t>#,0</t>
        </is>
      </c>
      <c r="I127" s="25" t="inlineStr">
        <is>
          <t>397</t>
        </is>
      </c>
    </row>
    <row r="128" ht="102.5" customHeight="1">
      <c r="A128" s="12" t="inlineStr">
        <is>
          <t>K-127</t>
        </is>
      </c>
      <c r="B128" s="13" t="inlineStr">
        <is>
          <t>10 Customer &amp; Product</t>
        </is>
      </c>
      <c r="C128" s="14" t="inlineStr">
        <is>
          <t>Cumulative Revenue Share %</t>
        </is>
      </c>
      <c r="D128" s="15" t="inlineStr">
        <is>
          <t>Drives the Pareto curve.</t>
        </is>
      </c>
      <c r="E128" s="16" t="inlineStr">
        <is>
          <t>VAR CurrentRank = [Customer Revenue Rank]
VAR Total       = CALCULATE([Net Revenue USD], ALL(dim_Customer))
VAR Running =
    CALCULATE(
        [Net Revenue USD],
        FILTER(ALL(dim_Customer[CustomerKey]), [Customer Revenue Rank] &lt;= CurrentRank)
    )
RETURN
    DIVIDE(Running, Total)</t>
        </is>
      </c>
      <c r="F128" s="13" t="inlineStr">
        <is>
          <t>multiple</t>
        </is>
      </c>
      <c r="G128" s="26" t="inlineStr">
        <is>
          <t>Standard</t>
        </is>
      </c>
      <c r="H128" s="13" t="inlineStr">
        <is>
          <t>0.0%</t>
        </is>
      </c>
      <c r="I128" s="18" t="inlineStr">
        <is>
          <t>—</t>
        </is>
      </c>
    </row>
    <row r="129" ht="71" customHeight="1">
      <c r="A129" s="19" t="inlineStr">
        <is>
          <t>K-128</t>
        </is>
      </c>
      <c r="B129" s="20" t="inlineStr">
        <is>
          <t>10 Customer &amp; Product</t>
        </is>
      </c>
      <c r="C129" s="21" t="inlineStr">
        <is>
          <t>Top 10 Product Share %</t>
        </is>
      </c>
      <c r="D129" s="22" t="inlineStr"/>
      <c r="E129" s="23" t="inlineStr">
        <is>
          <t>VAR T = TOPN(10, ALL(dim_Product[ProductKey]), [Net Revenue USD], DESC)
RETURN
    DIVIDE(
        CALCULATE([Net Revenue USD], T),
        CALCULATE([Net Revenue USD], ALL(dim_Product))
    )</t>
        </is>
      </c>
      <c r="F129" s="20" t="inlineStr">
        <is>
          <t>multiple</t>
        </is>
      </c>
      <c r="G129" s="27" t="inlineStr">
        <is>
          <t>Standard</t>
        </is>
      </c>
      <c r="H129" s="20" t="inlineStr">
        <is>
          <t>0.0%</t>
        </is>
      </c>
      <c r="I129" s="25" t="inlineStr">
        <is>
          <t>37.8%</t>
        </is>
      </c>
    </row>
    <row r="130" ht="60.5" customHeight="1">
      <c r="A130" s="12" t="inlineStr">
        <is>
          <t>K-129</t>
        </is>
      </c>
      <c r="B130" s="13" t="inlineStr">
        <is>
          <t>11 Data Quality</t>
        </is>
      </c>
      <c r="C130" s="14" t="inlineStr">
        <is>
          <t>Fan Out Alert</t>
        </is>
      </c>
      <c r="D130" s="15" t="inlineStr">
        <is>
          <t>Keep this on the canvas. It catches the one failure mode the bridge architecture exists to prevent.</t>
        </is>
      </c>
      <c r="E130" s="16" t="inlineStr">
        <is>
          <t>IF(
    [Invoiced MT] &gt; [Ordered MT] * 1.05,
    "FAN-OUT DETECTED",
    "Model OK"
)</t>
        </is>
      </c>
      <c r="F130" s="13" t="inlineStr">
        <is>
          <t>multiple</t>
        </is>
      </c>
      <c r="G130" s="17" t="inlineStr">
        <is>
          <t>Core</t>
        </is>
      </c>
      <c r="H130" s="13" t="inlineStr">
        <is>
          <t>text</t>
        </is>
      </c>
      <c r="I130" s="18" t="inlineStr">
        <is>
          <t>Model OK</t>
        </is>
      </c>
    </row>
    <row r="131" ht="50" customHeight="1">
      <c r="A131" s="19" t="inlineStr">
        <is>
          <t>K-130</t>
        </is>
      </c>
      <c r="B131" s="20" t="inlineStr">
        <is>
          <t>11 Data Quality</t>
        </is>
      </c>
      <c r="C131" s="21" t="inlineStr">
        <is>
          <t>Orphan Shipment Rows</t>
        </is>
      </c>
      <c r="D131" s="22" t="inlineStr"/>
      <c r="E131" s="23" t="inlineStr">
        <is>
          <t>CALCULATE(
    COUNTROWS(fact_Shipment),
    ISBLANK(RELATED(dim_SalesOrderLine[LineKey]))
)</t>
        </is>
      </c>
      <c r="F131" s="20" t="inlineStr">
        <is>
          <t>multiple</t>
        </is>
      </c>
      <c r="G131" s="24" t="inlineStr">
        <is>
          <t>Core</t>
        </is>
      </c>
      <c r="H131" s="20" t="inlineStr">
        <is>
          <t>#,0</t>
        </is>
      </c>
      <c r="I131" s="25" t="inlineStr">
        <is>
          <t>3</t>
        </is>
      </c>
    </row>
    <row r="132" ht="50" customHeight="1">
      <c r="A132" s="12" t="inlineStr">
        <is>
          <t>K-131</t>
        </is>
      </c>
      <c r="B132" s="13" t="inlineStr">
        <is>
          <t>11 Data Quality</t>
        </is>
      </c>
      <c r="C132" s="14" t="inlineStr">
        <is>
          <t>Missing Promise Date %</t>
        </is>
      </c>
      <c r="D132" s="15" t="inlineStr"/>
      <c r="E132" s="16" t="inlineStr">
        <is>
          <t>DIVIDE(
    CALCULATE([Order Lines], ISBLANK(dim_SalesOrderLine[Promise_Date])),
    [Order Lines]
)</t>
        </is>
      </c>
      <c r="F132" s="13" t="inlineStr">
        <is>
          <t>multiple</t>
        </is>
      </c>
      <c r="G132" s="17" t="inlineStr">
        <is>
          <t>Core</t>
        </is>
      </c>
      <c r="H132" s="13" t="inlineStr">
        <is>
          <t>0.0%</t>
        </is>
      </c>
      <c r="I132" s="18" t="inlineStr">
        <is>
          <t>5.5%</t>
        </is>
      </c>
    </row>
    <row r="133" ht="26" customHeight="1">
      <c r="A133" s="19" t="inlineStr">
        <is>
          <t>K-132</t>
        </is>
      </c>
      <c r="B133" s="20" t="inlineStr">
        <is>
          <t>11 Data Quality</t>
        </is>
      </c>
      <c r="C133" s="21" t="inlineStr">
        <is>
          <t>Sentinel Date Lines</t>
        </is>
      </c>
      <c r="D133" s="22" t="inlineStr">
        <is>
          <t>Should read zero once the date cap is applied.</t>
        </is>
      </c>
      <c r="E133" s="23" t="inlineStr">
        <is>
          <t>CALCULATE([Order Lines], dim_SalesOrderLine[Schedule_Ship_Date] &gt; DATE(2030,12,30))</t>
        </is>
      </c>
      <c r="F133" s="20" t="inlineStr">
        <is>
          <t>multiple</t>
        </is>
      </c>
      <c r="G133" s="24" t="inlineStr">
        <is>
          <t>Core</t>
        </is>
      </c>
      <c r="H133" s="20" t="inlineStr">
        <is>
          <t>#,0</t>
        </is>
      </c>
      <c r="I133" s="25" t="inlineStr">
        <is>
          <t>0</t>
        </is>
      </c>
    </row>
    <row r="134" ht="26" customHeight="1">
      <c r="A134" s="12" t="inlineStr">
        <is>
          <t>K-133</t>
        </is>
      </c>
      <c r="B134" s="13" t="inlineStr">
        <is>
          <t>11 Data Quality</t>
        </is>
      </c>
      <c r="C134" s="14" t="inlineStr">
        <is>
          <t>Unknown Currency Lines</t>
        </is>
      </c>
      <c r="D134" s="15" t="inlineStr"/>
      <c r="E134" s="16" t="inlineStr">
        <is>
          <t>CALCULATE([Order Lines], dim_Currency[Currency_Code] = "UNK")</t>
        </is>
      </c>
      <c r="F134" s="13" t="inlineStr">
        <is>
          <t>multiple</t>
        </is>
      </c>
      <c r="G134" s="17" t="inlineStr">
        <is>
          <t>Core</t>
        </is>
      </c>
      <c r="H134" s="13" t="inlineStr">
        <is>
          <t>#,0</t>
        </is>
      </c>
      <c r="I134" s="18" t="inlineStr">
        <is>
          <t>0</t>
        </is>
      </c>
    </row>
    <row r="135" ht="50" customHeight="1">
      <c r="A135" s="19" t="inlineStr">
        <is>
          <t>K-134</t>
        </is>
      </c>
      <c r="B135" s="20" t="inlineStr">
        <is>
          <t>12 Report Helpers</t>
        </is>
      </c>
      <c r="C135" s="21" t="inlineStr">
        <is>
          <t>Selected Period Label</t>
        </is>
      </c>
      <c r="D135" s="22" t="inlineStr"/>
      <c r="E135" s="23" t="inlineStr">
        <is>
          <t>VAR MinD = MIN(dim_Date[Date])
VAR MaxD = MAX(dim_Date[Date])
RETURN
    FORMAT(MinD, "d mmm yyyy") &amp; "  to  " &amp; FORMAT(MaxD, "d mmm yyyy")</t>
        </is>
      </c>
      <c r="F135" s="20" t="inlineStr">
        <is>
          <t>dim_Date</t>
        </is>
      </c>
      <c r="G135" s="27" t="inlineStr">
        <is>
          <t>Standard</t>
        </is>
      </c>
      <c r="H135" s="20" t="inlineStr">
        <is>
          <t>text</t>
        </is>
      </c>
      <c r="I135" s="25" t="inlineStr">
        <is>
          <t>—</t>
        </is>
      </c>
    </row>
    <row r="136" ht="60.5" customHeight="1">
      <c r="A136" s="12" t="inlineStr">
        <is>
          <t>K-135</t>
        </is>
      </c>
      <c r="B136" s="13" t="inlineStr">
        <is>
          <t>12 Report Helpers</t>
        </is>
      </c>
      <c r="C136" s="14" t="inlineStr">
        <is>
          <t>Partial Month Warning</t>
        </is>
      </c>
      <c r="D136" s="15" t="inlineStr"/>
      <c r="E136" s="16" t="inlineStr">
        <is>
          <t>IF(
    SELECTEDVALUE(dim_Date[Is_Complete_Month]) = FALSE(),
    "Partial month - do not read as a decline",
    BLANK()
)</t>
        </is>
      </c>
      <c r="F136" s="13" t="inlineStr">
        <is>
          <t>dim_Date</t>
        </is>
      </c>
      <c r="G136" s="26" t="inlineStr">
        <is>
          <t>Standard</t>
        </is>
      </c>
      <c r="H136" s="13" t="inlineStr">
        <is>
          <t>text</t>
        </is>
      </c>
      <c r="I136" s="18" t="inlineStr">
        <is>
          <t>—</t>
        </is>
      </c>
    </row>
  </sheetData>
  <autoFilter ref="A1:I13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54" customWidth="1" min="4" max="4"/>
    <col width="54" customWidth="1" min="5" max="5"/>
    <col width="11" customWidth="1" min="6" max="6"/>
  </cols>
  <sheetData>
    <row r="1" ht="30" customHeight="1">
      <c r="A1" s="11" t="inlineStr">
        <is>
          <t>ID</t>
        </is>
      </c>
      <c r="B1" s="11" t="inlineStr">
        <is>
          <t>Domain</t>
        </is>
      </c>
      <c r="C1" s="11" t="inlineStr">
        <is>
          <t>What it would measure</t>
        </is>
      </c>
      <c r="D1" s="11" t="inlineStr">
        <is>
          <t>Why it is blocked</t>
        </is>
      </c>
      <c r="E1" s="11" t="inlineStr">
        <is>
          <t>What would unblock it</t>
        </is>
      </c>
      <c r="F1" s="11" t="inlineStr">
        <is>
          <t>Impact</t>
        </is>
      </c>
    </row>
    <row r="2" ht="58" customHeight="1">
      <c r="A2" s="28" t="inlineStr">
        <is>
          <t>BLK-00</t>
        </is>
      </c>
      <c r="B2" s="13" t="inlineStr">
        <is>
          <t>Currency</t>
        </is>
      </c>
      <c r="C2" s="29" t="inlineStr">
        <is>
          <t>RESOLVED - USC and full FX coverage</t>
        </is>
      </c>
      <c r="D2" s="15" t="inlineStr">
        <is>
          <t>d_exchange_rate resolves USC as 1:1 with USD, and the v2 query supplies Exchange_Rate directly. Coverage is 100.000%.</t>
        </is>
      </c>
      <c r="E2" s="15" t="inlineStr">
        <is>
          <t>Closed - no action needed.</t>
        </is>
      </c>
      <c r="F2" s="30" t="inlineStr">
        <is>
          <t>Resolved</t>
        </is>
      </c>
    </row>
    <row r="3" ht="58" customHeight="1">
      <c r="A3" s="31" t="inlineStr">
        <is>
          <t>BLK-00b</t>
        </is>
      </c>
      <c r="B3" s="20" t="inlineStr">
        <is>
          <t>Data quality</t>
        </is>
      </c>
      <c r="C3" s="32" t="inlineStr">
        <is>
          <t>RESOLVED - WHERE clause precedence</t>
        </is>
      </c>
      <c r="D3" s="22" t="inlineStr">
        <is>
          <t>Fixed in the v2 sales order query. Cancelled lines went 39 to 0 and the extract grew to 68,977.</t>
        </is>
      </c>
      <c r="E3" s="22" t="inlineStr">
        <is>
          <t>Apply the same brackets to the invoice and shipment queries.</t>
        </is>
      </c>
      <c r="F3" s="33" t="inlineStr">
        <is>
          <t>Resolved</t>
        </is>
      </c>
    </row>
    <row r="4" ht="58" customHeight="1">
      <c r="A4" s="28" t="inlineStr">
        <is>
          <t>BLK-01</t>
        </is>
      </c>
      <c r="B4" s="13" t="inlineStr">
        <is>
          <t>Revenue &amp; Commercial</t>
        </is>
      </c>
      <c r="C4" s="29" t="inlineStr">
        <is>
          <t>Gross margin / contribution per tonne</t>
        </is>
      </c>
      <c r="D4" s="15" t="inlineStr">
        <is>
          <t>No cost data of any kind in the three facts — no COGS, standard cost or freight cost.</t>
        </is>
      </c>
      <c r="E4" s="15" t="inlineStr">
        <is>
          <t>Add a cost fact at item x plant x month. Standard cost alone unlocks the whole margin family.</t>
        </is>
      </c>
      <c r="F4" s="34" t="inlineStr">
        <is>
          <t>High</t>
        </is>
      </c>
    </row>
    <row r="5" ht="58" customHeight="1">
      <c r="A5" s="31" t="inlineStr">
        <is>
          <t>BLK-02</t>
        </is>
      </c>
      <c r="B5" s="20" t="inlineStr">
        <is>
          <t>Finance</t>
        </is>
      </c>
      <c r="C5" s="32" t="inlineStr">
        <is>
          <t>DSO, overdue balances, cash collection</t>
        </is>
      </c>
      <c r="D5" s="22" t="inlineStr">
        <is>
          <t>No payment or settlement records. Term_Name gives the agreed term but nothing confirms collection.</t>
        </is>
      </c>
      <c r="E5" s="22" t="inlineStr">
        <is>
          <t>Requires an AR ledger or payments fact keyed on invoice.</t>
        </is>
      </c>
      <c r="F5" s="35" t="inlineStr">
        <is>
          <t>High</t>
        </is>
      </c>
    </row>
    <row r="6" ht="58" customHeight="1">
      <c r="A6" s="28" t="inlineStr">
        <is>
          <t>BLK-03</t>
        </is>
      </c>
      <c r="B6" s="13" t="inlineStr">
        <is>
          <t>Logistics</t>
        </is>
      </c>
      <c r="C6" s="29" t="inlineStr">
        <is>
          <t>Freight cost per tonne / cost per lane</t>
        </is>
      </c>
      <c r="D6" s="15" t="inlineStr">
        <is>
          <t>No freight rate or carrier cost columns anywhere in f_Shipment.</t>
        </is>
      </c>
      <c r="E6" s="15" t="inlineStr">
        <is>
          <t>Join freight invoices or a rate card on carrier x lane.</t>
        </is>
      </c>
      <c r="F6" s="34" t="inlineStr">
        <is>
          <t>High</t>
        </is>
      </c>
    </row>
    <row r="7" ht="58" customHeight="1">
      <c r="A7" s="31" t="inlineStr">
        <is>
          <t>BLK-04</t>
        </is>
      </c>
      <c r="B7" s="20" t="inlineStr">
        <is>
          <t>Service</t>
        </is>
      </c>
      <c r="C7" s="32" t="inlineStr">
        <is>
          <t>Actual transit time door to door</t>
        </is>
      </c>
      <c r="D7" s="22" t="inlineStr">
        <is>
          <t>Trip stop actual arrival and actual departure carry identical timestamps — computed transit is 0.00 days across 63,969 rows.</t>
        </is>
      </c>
      <c r="E7" s="22" t="inlineStr">
        <is>
          <t>Needs genuine event capture at pickup and drop-off. Use delay-against-plan as the proxy meanwhile.</t>
        </is>
      </c>
      <c r="F7" s="35" t="inlineStr">
        <is>
          <t>High</t>
        </is>
      </c>
    </row>
    <row r="8" ht="58" customHeight="1">
      <c r="A8" s="28" t="inlineStr">
        <is>
          <t>BLK-05</t>
        </is>
      </c>
      <c r="B8" s="13" t="inlineStr">
        <is>
          <t>Returns</t>
        </is>
      </c>
      <c r="C8" s="29" t="inlineStr">
        <is>
          <t>Link a credit back to the original sale</t>
        </is>
      </c>
      <c r="D8" s="15" t="inlineStr">
        <is>
          <t>Line_DFF_Quick_RMA_Original_Line_Id is populated on 8 rows and none of the 8 resolve to any Line_Id.</t>
        </is>
      </c>
      <c r="E8" s="15" t="inlineStr">
        <is>
          <t>Source-side fix. Without it credit root-cause cannot reach the original transaction.</t>
        </is>
      </c>
      <c r="F8" s="34" t="inlineStr">
        <is>
          <t>High</t>
        </is>
      </c>
    </row>
    <row r="9" ht="58" customHeight="1">
      <c r="A9" s="31" t="inlineStr">
        <is>
          <t>BLK-06</t>
        </is>
      </c>
      <c r="B9" s="20" t="inlineStr">
        <is>
          <t>Commercial</t>
        </is>
      </c>
      <c r="C9" s="32" t="inlineStr">
        <is>
          <t>Year-on-year growth</t>
        </is>
      </c>
      <c r="D9" s="22" t="inlineStr">
        <is>
          <t>The extract starts January 2026. 99.7% of invoice rows are 2026.</t>
        </is>
      </c>
      <c r="E9" s="22" t="inlineStr">
        <is>
          <t>Extend the source query window. The model already supports it.</t>
        </is>
      </c>
      <c r="F9" s="35" t="inlineStr">
        <is>
          <t>High</t>
        </is>
      </c>
    </row>
    <row r="10" ht="58" customHeight="1">
      <c r="A10" s="28" t="inlineStr">
        <is>
          <t>BLK-08</t>
        </is>
      </c>
      <c r="B10" s="13" t="inlineStr">
        <is>
          <t>Logistics</t>
        </is>
      </c>
      <c r="C10" s="29" t="inlineStr">
        <is>
          <t>Vessel / voyage reliability</t>
        </is>
      </c>
      <c r="D10" s="15" t="inlineStr">
        <is>
          <t>Voyage columns are 0.1-0.4% populated (117 to 337 rows of 84,505).</t>
        </is>
      </c>
      <c r="E10" s="15" t="inlineStr">
        <is>
          <t>Backfill voyage data, or scope the metric to ocean shipments only.</t>
        </is>
      </c>
      <c r="F10" s="36" t="inlineStr">
        <is>
          <t>Medium</t>
        </is>
      </c>
    </row>
    <row r="11" ht="58" customHeight="1">
      <c r="A11" s="31" t="inlineStr">
        <is>
          <t>BLK-09</t>
        </is>
      </c>
      <c r="B11" s="20" t="inlineStr">
        <is>
          <t>Logistics</t>
        </is>
      </c>
      <c r="C11" s="32" t="inlineStr">
        <is>
          <t>Container utilisation / fill rate</t>
        </is>
      </c>
      <c r="D11" s="22" t="inlineStr">
        <is>
          <t>Delivery_Detail_LPN_Container_Name is 3.6% populated; Trip_DFF_Container_Number is 0%.</t>
        </is>
      </c>
      <c r="E11" s="22" t="inlineStr">
        <is>
          <t>Capture container assignment on every containerised delivery.</t>
        </is>
      </c>
      <c r="F11" s="37" t="inlineStr">
        <is>
          <t>Medium</t>
        </is>
      </c>
    </row>
    <row r="12" ht="58" customHeight="1">
      <c r="A12" s="28" t="inlineStr">
        <is>
          <t>BLK-10</t>
        </is>
      </c>
      <c r="B12" s="13" t="inlineStr">
        <is>
          <t>Service</t>
        </is>
      </c>
      <c r="C12" s="29" t="inlineStr">
        <is>
          <t>Delivered and received volume</t>
        </is>
      </c>
      <c r="D12" s="15" t="inlineStr">
        <is>
          <t>Delivered_Qty_MT, Received_Qty_MT and Scheduled_Qty_MT are populated but every value is zero across all 84,505 clean rows.</t>
        </is>
      </c>
      <c r="E12" s="15" t="inlineStr">
        <is>
          <t>Ask whether delivery confirmation is captured at all. If it is, the ETL is not carrying it.</t>
        </is>
      </c>
      <c r="F12" s="34" t="inlineStr">
        <is>
          <t>High</t>
        </is>
      </c>
    </row>
    <row r="13" ht="58" customHeight="1">
      <c r="A13" s="31" t="inlineStr">
        <is>
          <t>BLK-11</t>
        </is>
      </c>
      <c r="B13" s="20" t="inlineStr">
        <is>
          <t>Product</t>
        </is>
      </c>
      <c r="C13" s="32" t="inlineStr">
        <is>
          <t>Product family / grade hierarchy</t>
        </is>
      </c>
      <c r="D13" s="22" t="inlineStr">
        <is>
          <t>Product data is masked in this sample and no hierarchy columns are visible.</t>
        </is>
      </c>
      <c r="E13" s="22" t="inlineStr">
        <is>
          <t>Re-profile on unmasked data — the hierarchy may already exist.</t>
        </is>
      </c>
      <c r="F13" s="37" t="inlineStr">
        <is>
          <t>Medium</t>
        </is>
      </c>
    </row>
    <row r="14" ht="58" customHeight="1">
      <c r="A14" s="28" t="inlineStr">
        <is>
          <t>BLK-12</t>
        </is>
      </c>
      <c r="B14" s="13" t="inlineStr">
        <is>
          <t>Commercial</t>
        </is>
      </c>
      <c r="C14" s="29" t="inlineStr">
        <is>
          <t>FX impact split from price and volume</t>
        </is>
      </c>
      <c r="D14" s="15" t="inlineStr">
        <is>
          <t>Now buildable - dim_ExchangeRate supplies daily Corporate rates. Not yet in the measure set.</t>
        </is>
      </c>
      <c r="E14" s="15" t="inlineStr">
        <is>
          <t>Add a price/volume/FX bridge measure group. No data gap remains.</t>
        </is>
      </c>
      <c r="F14" s="38" t="inlineStr">
        <is>
          <t>Low</t>
        </is>
      </c>
    </row>
    <row r="15" ht="58" customHeight="1">
      <c r="A15" s="31" t="inlineStr">
        <is>
          <t>BLK-13</t>
        </is>
      </c>
      <c r="B15" s="20" t="inlineStr">
        <is>
          <t>Forecasting</t>
        </is>
      </c>
      <c r="C15" s="32" t="inlineStr">
        <is>
          <t>Forecast accuracy / plan vs actual</t>
        </is>
      </c>
      <c r="D15" s="22" t="inlineStr">
        <is>
          <t>No forecast or budget data in scope.</t>
        </is>
      </c>
      <c r="E15" s="22" t="inlineStr">
        <is>
          <t>Add a forecast fact at customer x product x month.</t>
        </is>
      </c>
      <c r="F15" s="37" t="inlineStr">
        <is>
          <t>Medium</t>
        </is>
      </c>
    </row>
  </sheetData>
  <autoFilter ref="A1:F1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2026-08-14T20:02:56Z</dcterms:created>
  <dcterms:modified xmlns:dcterms="http://purl.org/dc/terms/" xmlns:xsi="http://www.w3.org/2001/XMLSchema-instance" xsi:type="dcterms:W3CDTF">2026-08-14T20:02:56Z</dcterms:modified>
</cp:coreProperties>
</file>